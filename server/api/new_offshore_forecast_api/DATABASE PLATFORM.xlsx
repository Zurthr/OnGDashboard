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aki\Downloads\offshore_forecast_api\"/>
    </mc:Choice>
  </mc:AlternateContent>
  <xr:revisionPtr revIDLastSave="0" documentId="13_ncr:1_{87DBBAA1-8900-475F-AD30-63D5BA5B0DDB}" xr6:coauthVersionLast="47" xr6:coauthVersionMax="47" xr10:uidLastSave="{00000000-0000-0000-0000-000000000000}"/>
  <bookViews>
    <workbookView xWindow="-110" yWindow="-110" windowWidth="25820" windowHeight="15500" activeTab="1" xr2:uid="{A175ADA9-8FF9-49BC-836B-3AF0C9D9E775}"/>
  </bookViews>
  <sheets>
    <sheet name="CLEAN" sheetId="1" r:id="rId1"/>
    <sheet name="RAW" sheetId="2" r:id="rId2"/>
    <sheet name="Sheet1" sheetId="3" r:id="rId3"/>
  </sheets>
  <definedNames>
    <definedName name="_xlnm._FilterDatabase" localSheetId="0" hidden="1">CLEAN!$A$1:$S$1</definedName>
    <definedName name="_xlnm._FilterDatabase" localSheetId="1" hidden="1">RAW!$A$2:$DF$2</definedName>
    <definedName name="_xlchart.v1.0" hidden="1">RAW!$BZ$4:$BZ$25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O27" i="2" l="1"/>
  <c r="CO26" i="2"/>
  <c r="CO25" i="2"/>
  <c r="CO24" i="2"/>
  <c r="CO23" i="2"/>
  <c r="CO22" i="2"/>
  <c r="CO21" i="2"/>
  <c r="CO20" i="2"/>
  <c r="CO19" i="2"/>
  <c r="CO18" i="2"/>
  <c r="CO17" i="2"/>
  <c r="CO16" i="2"/>
  <c r="CO15" i="2"/>
  <c r="CO14" i="2"/>
  <c r="CO13" i="2"/>
  <c r="CO12" i="2"/>
  <c r="CO11" i="2"/>
  <c r="CO10" i="2"/>
  <c r="CO9" i="2"/>
  <c r="CO8" i="2"/>
  <c r="CO7" i="2"/>
  <c r="CO6" i="2"/>
  <c r="CO5" i="2"/>
  <c r="CO4" i="2"/>
  <c r="Q1" i="3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3" i="2"/>
  <c r="CN36" i="2"/>
  <c r="CN35" i="2"/>
  <c r="CO30" i="2"/>
  <c r="CH30" i="2"/>
  <c r="BY30" i="2"/>
  <c r="BR30" i="2"/>
  <c r="BK30" i="2"/>
  <c r="BE30" i="2"/>
  <c r="AY30" i="2"/>
  <c r="AS30" i="2"/>
  <c r="CP30" i="2" s="1"/>
  <c r="AM30" i="2"/>
  <c r="AG30" i="2"/>
  <c r="V30" i="2"/>
  <c r="Z30" i="2" s="1"/>
  <c r="S30" i="2"/>
  <c r="CO29" i="2"/>
  <c r="CH29" i="2"/>
  <c r="BY29" i="2"/>
  <c r="BZ29" i="2" s="1"/>
  <c r="BR29" i="2"/>
  <c r="BK29" i="2"/>
  <c r="BE29" i="2"/>
  <c r="AY29" i="2"/>
  <c r="AS29" i="2"/>
  <c r="AM29" i="2"/>
  <c r="AG29" i="2"/>
  <c r="Z29" i="2"/>
  <c r="CP29" i="2" s="1"/>
  <c r="P29" i="2"/>
  <c r="S29" i="2" s="1"/>
  <c r="CO28" i="2"/>
  <c r="CP28" i="2" s="1"/>
  <c r="CH28" i="2"/>
  <c r="BY28" i="2"/>
  <c r="BZ28" i="2" s="1"/>
  <c r="BR28" i="2"/>
  <c r="BK28" i="2"/>
  <c r="BE28" i="2"/>
  <c r="AY28" i="2"/>
  <c r="AS28" i="2"/>
  <c r="AM28" i="2"/>
  <c r="AG28" i="2"/>
  <c r="Z28" i="2"/>
  <c r="S28" i="2"/>
  <c r="CP27" i="2"/>
  <c r="AY27" i="2"/>
  <c r="AS27" i="2"/>
  <c r="S27" i="2"/>
  <c r="AY26" i="2"/>
  <c r="CP26" i="2" s="1"/>
  <c r="AS26" i="2"/>
  <c r="S26" i="2"/>
  <c r="BY25" i="2"/>
  <c r="BZ25" i="2" s="1"/>
  <c r="Q25" i="2"/>
  <c r="P25" i="2"/>
  <c r="O25" i="2"/>
  <c r="S25" i="2" s="1"/>
  <c r="BY24" i="2"/>
  <c r="BZ24" i="2" s="1"/>
  <c r="S24" i="2"/>
  <c r="BZ23" i="2"/>
  <c r="BY23" i="2"/>
  <c r="S23" i="2"/>
  <c r="L23" i="2"/>
  <c r="BY22" i="2"/>
  <c r="BZ22" i="2" s="1"/>
  <c r="R22" i="2"/>
  <c r="Q22" i="2"/>
  <c r="P22" i="2"/>
  <c r="O22" i="2"/>
  <c r="S22" i="2" s="1"/>
  <c r="BY21" i="2"/>
  <c r="BZ21" i="2" s="1"/>
  <c r="S21" i="2"/>
  <c r="BY20" i="2"/>
  <c r="BZ20" i="2" s="1"/>
  <c r="P20" i="2"/>
  <c r="O20" i="2"/>
  <c r="S20" i="2" s="1"/>
  <c r="L20" i="2"/>
  <c r="BZ19" i="2"/>
  <c r="BY19" i="2"/>
  <c r="S19" i="2"/>
  <c r="BZ18" i="2"/>
  <c r="BY18" i="2"/>
  <c r="S18" i="2"/>
  <c r="BY17" i="2"/>
  <c r="BZ17" i="2" s="1"/>
  <c r="R17" i="2"/>
  <c r="Q17" i="2"/>
  <c r="S17" i="2" s="1"/>
  <c r="P17" i="2"/>
  <c r="O17" i="2"/>
  <c r="L17" i="2"/>
  <c r="BY16" i="2"/>
  <c r="BZ16" i="2" s="1"/>
  <c r="R16" i="2"/>
  <c r="Q16" i="2"/>
  <c r="P16" i="2"/>
  <c r="O16" i="2"/>
  <c r="S16" i="2" s="1"/>
  <c r="L16" i="2"/>
  <c r="BY15" i="2"/>
  <c r="BZ15" i="2" s="1"/>
  <c r="R15" i="2"/>
  <c r="Q15" i="2"/>
  <c r="P15" i="2"/>
  <c r="O15" i="2"/>
  <c r="S15" i="2" s="1"/>
  <c r="L15" i="2"/>
  <c r="BZ14" i="2"/>
  <c r="BY14" i="2"/>
  <c r="P14" i="2"/>
  <c r="S14" i="2" s="1"/>
  <c r="BY13" i="2"/>
  <c r="BZ13" i="2" s="1"/>
  <c r="P13" i="2"/>
  <c r="S13" i="2" s="1"/>
  <c r="BY12" i="2"/>
  <c r="BZ12" i="2" s="1"/>
  <c r="S12" i="2"/>
  <c r="P12" i="2"/>
  <c r="S11" i="2"/>
  <c r="S10" i="2"/>
  <c r="S9" i="2"/>
  <c r="BY8" i="2"/>
  <c r="BZ8" i="2" s="1"/>
  <c r="BY36" i="2" s="1"/>
  <c r="BY37" i="2" s="1"/>
  <c r="S8" i="2"/>
  <c r="BY7" i="2"/>
  <c r="BZ7" i="2" s="1"/>
  <c r="S7" i="2"/>
  <c r="BY6" i="2"/>
  <c r="S6" i="2"/>
  <c r="BY5" i="2"/>
  <c r="BZ5" i="2" s="1"/>
  <c r="R5" i="2"/>
  <c r="Q5" i="2"/>
  <c r="S5" i="2" s="1"/>
  <c r="P5" i="2"/>
  <c r="O5" i="2"/>
  <c r="L5" i="2"/>
  <c r="BY4" i="2"/>
  <c r="BZ4" i="2" s="1"/>
  <c r="S4" i="2"/>
  <c r="S3" i="2"/>
  <c r="BY39" i="2" l="1"/>
  <c r="CA35" i="2"/>
  <c r="CA36" i="2" s="1"/>
  <c r="J27" i="1" l="1"/>
  <c r="K3" i="1" l="1"/>
  <c r="J3" i="1"/>
  <c r="I3" i="1"/>
  <c r="K23" i="1" l="1"/>
  <c r="J23" i="1"/>
  <c r="I23" i="1"/>
  <c r="K20" i="1"/>
  <c r="J20" i="1"/>
  <c r="I20" i="1"/>
  <c r="J18" i="1"/>
  <c r="I18" i="1"/>
  <c r="K15" i="1"/>
  <c r="J15" i="1"/>
  <c r="I15" i="1"/>
  <c r="K14" i="1"/>
  <c r="J14" i="1"/>
  <c r="I14" i="1"/>
  <c r="K13" i="1"/>
  <c r="J13" i="1"/>
  <c r="I13" i="1"/>
  <c r="J12" i="1"/>
  <c r="J11" i="1"/>
  <c r="J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Lugas Bijak Prasojo</author>
    <author>Endang Widuri</author>
  </authors>
  <commentList>
    <comment ref="E21" authorId="0" shapeId="0" xr:uid="{3F962ED5-5097-420D-9F6A-5E62AE138CB2}">
      <text>
        <r>
          <rPr>
            <b/>
            <sz val="9"/>
            <color rgb="FF000000"/>
            <rFont val="Tahoma"/>
            <family val="2"/>
          </rPr>
          <t>Lugas Bijak Prasojo: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Braced Modular</t>
        </r>
      </text>
    </comment>
    <comment ref="K27" authorId="1" shapeId="0" xr:uid="{4AF0D11D-6D9D-47B1-948E-7D8CA39C42E6}">
      <text>
        <r>
          <rPr>
            <b/>
            <sz val="9"/>
            <color rgb="FF000000"/>
            <rFont val="Tahoma"/>
            <family val="2"/>
          </rPr>
          <t>Endang Widuri: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Deck Ext.</t>
        </r>
      </text>
    </comment>
    <comment ref="J28" authorId="1" shapeId="0" xr:uid="{6BEE4604-2881-489D-8969-361A5D01E725}">
      <text>
        <r>
          <rPr>
            <b/>
            <sz val="9"/>
            <color rgb="FF000000"/>
            <rFont val="Tahoma"/>
            <family val="2"/>
          </rPr>
          <t>Endang Widuri: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 Pile &amp; Cond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Lugas Bijak Prasojo</author>
    <author>Endang Widuri</author>
  </authors>
  <commentList>
    <comment ref="R18" authorId="0" shapeId="0" xr:uid="{9322C0B6-ADAB-BA40-9EB7-0FB7BDA6DE8A}">
      <text>
        <r>
          <rPr>
            <b/>
            <sz val="9"/>
            <color indexed="81"/>
            <rFont val="Tahoma"/>
            <family val="2"/>
          </rPr>
          <t>Lugas Bijak Prasojo:</t>
        </r>
        <r>
          <rPr>
            <sz val="9"/>
            <color indexed="81"/>
            <rFont val="Tahoma"/>
            <family val="2"/>
          </rPr>
          <t xml:space="preserve">
Included
</t>
        </r>
      </text>
    </comment>
    <comment ref="H23" authorId="0" shapeId="0" xr:uid="{924C6FB9-F655-2D4D-BF96-44969601BEEE}">
      <text>
        <r>
          <rPr>
            <b/>
            <sz val="9"/>
            <color indexed="81"/>
            <rFont val="Tahoma"/>
            <family val="2"/>
          </rPr>
          <t>Lugas Bijak Prasojo:</t>
        </r>
        <r>
          <rPr>
            <sz val="9"/>
            <color indexed="81"/>
            <rFont val="Tahoma"/>
            <family val="2"/>
          </rPr>
          <t xml:space="preserve">
Braced Modular</t>
        </r>
      </text>
    </comment>
    <comment ref="R24" authorId="0" shapeId="0" xr:uid="{E792DABB-AFF5-B442-BE12-51CA2E603BE5}">
      <text>
        <r>
          <rPr>
            <b/>
            <sz val="9"/>
            <color indexed="81"/>
            <rFont val="Tahoma"/>
            <family val="2"/>
          </rPr>
          <t>Lugas Bijak Prasojo:</t>
        </r>
        <r>
          <rPr>
            <sz val="9"/>
            <color indexed="81"/>
            <rFont val="Tahoma"/>
            <family val="2"/>
          </rPr>
          <t xml:space="preserve">
Included in jacket</t>
        </r>
      </text>
    </comment>
    <comment ref="Q29" authorId="1" shapeId="0" xr:uid="{1917484A-CC0E-0841-B49E-291BF1465B3A}">
      <text>
        <r>
          <rPr>
            <b/>
            <sz val="9"/>
            <color indexed="81"/>
            <rFont val="Tahoma"/>
            <family val="2"/>
          </rPr>
          <t>Endang Widuri:</t>
        </r>
        <r>
          <rPr>
            <sz val="9"/>
            <color indexed="81"/>
            <rFont val="Tahoma"/>
            <family val="2"/>
          </rPr>
          <t xml:space="preserve">
Deck Ext.</t>
        </r>
      </text>
    </comment>
    <comment ref="P30" authorId="1" shapeId="0" xr:uid="{34BFABF3-CCA7-D646-B206-9B76343972C1}">
      <text>
        <r>
          <rPr>
            <b/>
            <sz val="9"/>
            <color indexed="81"/>
            <rFont val="Tahoma"/>
            <family val="2"/>
          </rPr>
          <t>Endang Widuri:</t>
        </r>
        <r>
          <rPr>
            <sz val="9"/>
            <color indexed="81"/>
            <rFont val="Tahoma"/>
            <family val="2"/>
          </rPr>
          <t xml:space="preserve">
incl Pile &amp; Cond</t>
        </r>
      </text>
    </comment>
  </commentList>
</comments>
</file>

<file path=xl/sharedStrings.xml><?xml version="1.0" encoding="utf-8"?>
<sst xmlns="http://schemas.openxmlformats.org/spreadsheetml/2006/main" count="524" uniqueCount="252">
  <si>
    <t>KKKS</t>
  </si>
  <si>
    <t>WK</t>
  </si>
  <si>
    <t>No AFE</t>
  </si>
  <si>
    <t>Project Name</t>
  </si>
  <si>
    <t>BP BERAU LTD.</t>
  </si>
  <si>
    <t>BERAU</t>
  </si>
  <si>
    <t>16-21A-001-R1</t>
  </si>
  <si>
    <t>Offshore Gas Production Facility (GPF)</t>
  </si>
  <si>
    <t>24-21A-001-R1</t>
  </si>
  <si>
    <t>Ubadari Offshore Facilities</t>
  </si>
  <si>
    <t>04-3810</t>
  </si>
  <si>
    <t>Platform EPCI for Tangguh Gas Production Facilities</t>
  </si>
  <si>
    <t>Leg</t>
  </si>
  <si>
    <t>Total Cost</t>
  </si>
  <si>
    <t>STARBORN ENERGY BONTANG PTE. LTD.</t>
  </si>
  <si>
    <t>BONTANG (2003)</t>
  </si>
  <si>
    <t>21-21A-001-OO</t>
  </si>
  <si>
    <t>Tutung Field Offshore Facilities</t>
  </si>
  <si>
    <t>PC KETAPANG II LTD.</t>
  </si>
  <si>
    <t>KETAPANG</t>
  </si>
  <si>
    <t>19-21A-001-R1</t>
  </si>
  <si>
    <t>Bukit Tua Ph 2B Facilities Project</t>
  </si>
  <si>
    <t>MEDCO ENERGI MADURA OFFSHORE PTY. LTD.</t>
  </si>
  <si>
    <t>MADURA OFFSHORE</t>
  </si>
  <si>
    <t>18-21A-218-R1</t>
  </si>
  <si>
    <t>Meliwis Wellhead Platform (WHP)</t>
  </si>
  <si>
    <t>HUSKY-CNOOC MADURA LTD.</t>
  </si>
  <si>
    <t>MADURA STRAIT</t>
  </si>
  <si>
    <t>16-21A-002-OO</t>
  </si>
  <si>
    <t>MDK WELLHEAD PLATFORM</t>
  </si>
  <si>
    <t>18-21A-001-OO</t>
  </si>
  <si>
    <t>EPCI Well Head Platform (WHP) for MAC Field Development</t>
  </si>
  <si>
    <t>PT PERTAMINA HULU MAHAKAM</t>
  </si>
  <si>
    <t>MAHAKAM (2015)</t>
  </si>
  <si>
    <t>19-21A-910-OO</t>
  </si>
  <si>
    <t>EPSCC Jumelai (JML-1)</t>
  </si>
  <si>
    <t>19-21A-915-OO</t>
  </si>
  <si>
    <t>EPSCC North Sisi (WPS-3)</t>
  </si>
  <si>
    <t>19-21A-916-OO</t>
  </si>
  <si>
    <t>EPSCC North Nubi (WPN-4)</t>
  </si>
  <si>
    <t>22-21A-916-OO</t>
  </si>
  <si>
    <t>EPSCC for Sisi Nubi AOI Proyek – WPS4 dan WPS5 (Cluster AOI-1)</t>
  </si>
  <si>
    <t>22-21A-917-OO</t>
  </si>
  <si>
    <t>EPSCC for Sisi Nubi AOI Proyek – WPN5 dan WPN6 (Cluster AOI-3)</t>
  </si>
  <si>
    <t>22-21A-918-OO</t>
  </si>
  <si>
    <t>EPSCC for Sisi Nubi AOI Proyek – WPN7 dan WPN8 (Cluster AOI-5)</t>
  </si>
  <si>
    <t>24-21A-904-OO</t>
  </si>
  <si>
    <t>Engineering Procurement Supply Construction &amp; Commissioning (EPSCC) Manpatu</t>
  </si>
  <si>
    <t>PC NORTH MADURA II LTD.</t>
  </si>
  <si>
    <t>NORTH MADURA II</t>
  </si>
  <si>
    <t>24-21A-001-OO</t>
  </si>
  <si>
    <t>Hidayah Phase-1 Field Development</t>
  </si>
  <si>
    <t>SAKA INDONESIA PANGKAH LTD.</t>
  </si>
  <si>
    <t>PANGKAH</t>
  </si>
  <si>
    <t>18-21A-038-OO</t>
  </si>
  <si>
    <t>EPCIC Sidayu Wellhead Platforms and Pipelines</t>
  </si>
  <si>
    <t>3af14e24-b803-40be-8537-ab336785717f</t>
  </si>
  <si>
    <t>7d861cc8-8a3c-406b-af46-e27d9d02bcff</t>
  </si>
  <si>
    <t>MEDCO ENERGI SAMPANG PTY. LTD.</t>
  </si>
  <si>
    <t>SAMPANG</t>
  </si>
  <si>
    <t>21-21A-002-OO</t>
  </si>
  <si>
    <t>Paus Biru Engineering, Procurement, Construction, and Installation (EPCI)</t>
  </si>
  <si>
    <t>MEDCO E&amp;P NATUNA LTD.</t>
  </si>
  <si>
    <t>SOUTH NATUNA SEA "B"</t>
  </si>
  <si>
    <t>21-21A-402-OO</t>
  </si>
  <si>
    <t>Forel-Bronang EPCI</t>
  </si>
  <si>
    <t>1c486eb9-dda0-47ab-9366-ebaa7c78cd68</t>
  </si>
  <si>
    <t>21-21A-405-OO</t>
  </si>
  <si>
    <t>Belida Extension Project (EPCI)</t>
  </si>
  <si>
    <t>5e9375bf-e115-4ba1-8ece-33a1d9415861</t>
  </si>
  <si>
    <t>22-21A-403-OO</t>
  </si>
  <si>
    <t>West Belut Project EPCI</t>
  </si>
  <si>
    <t>Microsoft Word - PS-EPCI_West_Belut_Project R.3 24102022 Final</t>
  </si>
  <si>
    <t>23-21A-402-OO</t>
  </si>
  <si>
    <t>EPCI Terubuk</t>
  </si>
  <si>
    <t>PS-EPCI_Terubuk_Project AFE 23-21A-402-OO R_311023.pdf</t>
  </si>
  <si>
    <t>0937c0c7-fed2-43c5-8c57-8910ea34ecb4</t>
  </si>
  <si>
    <t>Link PS</t>
  </si>
  <si>
    <t xml:space="preserve">https://newafe.skkmigas.go.id/home/document-viewer/inline/a498fddc-069f-420e-a2b2-4ce493a95582 </t>
  </si>
  <si>
    <t xml:space="preserve">https://newafe.skkmigas.go.id/home/document-viewer/inline/d94939c3-5c9a-4156-8ad1-6a9b716c628f </t>
  </si>
  <si>
    <t xml:space="preserve">https://newafe.skkmigas.go.id/home/document-viewer/inline/bda45c83-8ea1-4619-9625-be8553fa33d4 </t>
  </si>
  <si>
    <t xml:space="preserve">https://newafe.skkmigas.go.id/home/document-viewer/inline/c74a1094-ae87-455b-ac47-3b325dd397ef </t>
  </si>
  <si>
    <t xml:space="preserve">https://newafe.skkmigas.go.id/home/document-viewer/inline/aae4e674-56b0-4d06-b9be-4c94e97c5e8f </t>
  </si>
  <si>
    <t xml:space="preserve">https://newafe.skkmigas.go.id/home/document-viewer/inline/aa48cec2-8065-479c-bda6-b8ac73e26297 </t>
  </si>
  <si>
    <t xml:space="preserve">https://newafe.skkmigas.go.id/home/document-viewer/inline/0474502f-06f8-49e9-b34c-37897b3cab18 </t>
  </si>
  <si>
    <t xml:space="preserve">https://newafe.skkmigas.go.id/home/document-viewer/inline/2f094663-4abc-4659-af12-4d0ec0361c78 </t>
  </si>
  <si>
    <t xml:space="preserve">https://newafe.skkmigas.go.id/home/document-viewer/inline/ae374d60-6b5b-49a0-9850-4175f6a1c14c </t>
  </si>
  <si>
    <t xml:space="preserve">https://newafe.skkmigas.go.id/home/document-viewer/inline/34bac766-2105-4646-af99-babc968ef727 </t>
  </si>
  <si>
    <t xml:space="preserve">https://newafe.skkmigas.go.id/home/document-viewer/inline/e39bcbf5-384c-474a-8811-01269bdf5724 </t>
  </si>
  <si>
    <t xml:space="preserve">https://newafe.skkmigas.go.id/home/document-viewer/inline/55f9b2d3-8a01-46fa-88e9-a19a53723ecc </t>
  </si>
  <si>
    <t xml:space="preserve">https://newafe.skkmigas.go.id/home/document-viewer/inline/00be21a6-0751-40d8-99b3-a42cda59bc5a </t>
  </si>
  <si>
    <t xml:space="preserve">https://newafe.skkmigas.go.id/home/document-viewer/inline/efaf5e3b-8ab7-491d-beff-0167751c184e </t>
  </si>
  <si>
    <t xml:space="preserve">https://newafe.skkmigas.go.id/home/document-viewer/inline/3cbe015e-b448-4249-8106-0a3655bdd5b0 </t>
  </si>
  <si>
    <t>PREMIER OIL NATUNA SEA B.V.</t>
  </si>
  <si>
    <t>NATUNA SEA BLOCK "A"</t>
  </si>
  <si>
    <t>11-0029</t>
  </si>
  <si>
    <t>Pelikan &amp; Naga Development Project</t>
  </si>
  <si>
    <t>f0873713-da53-4b53-bbc2-a2e104010edb</t>
  </si>
  <si>
    <t>11-0030</t>
  </si>
  <si>
    <t>b92a2524-1bf6-40f6-9a10-cd92bed7f56b</t>
  </si>
  <si>
    <t>24-21A-002-R1</t>
  </si>
  <si>
    <t>Vorwata EGR-CCUS Offshore Facilities</t>
  </si>
  <si>
    <t>EPCI WHP dan Subsea Pipeline dan Cable Pengembangan Lapangan Risma</t>
  </si>
  <si>
    <t>25-21A-029</t>
  </si>
  <si>
    <t>https://newafe.skkmigas.go.id/home/afe-coverpage?afeRevisionId=b0af1edd-eea5-4430-9680-55fe297ff271</t>
  </si>
  <si>
    <t>PT PERTAMINA HULU ENERGY OSES</t>
  </si>
  <si>
    <t>Southeast Sumatra</t>
  </si>
  <si>
    <t>https://newafe.skkmigas.go.id/home/afe-coverpage?afeRevisionId=061f9ecf-58b3-4679-b854-c8ddf5c2f9cf</t>
  </si>
  <si>
    <t>25-21A-001</t>
  </si>
  <si>
    <t>EPCI CPP AAL</t>
  </si>
  <si>
    <t>https://newafe.skkmigas.go.id/home/afe-coverpage?afeRevisionId=06388ebb-29e4-4884-91c4-28fa47283086</t>
  </si>
  <si>
    <t>Wellhead Platf., Pipeline, Brownfield Modif for Bukit Panjang Field Dev.Proj</t>
  </si>
  <si>
    <t>Topsides/Deck (MT)</t>
  </si>
  <si>
    <t>Jacket (MT)</t>
  </si>
  <si>
    <t>Piles (MT)</t>
  </si>
  <si>
    <t>Water Depth (meter)</t>
  </si>
  <si>
    <t>FEB</t>
  </si>
  <si>
    <t>PROJECT SKK/FEB/FEB EPC Approved EGR - Offshore 29Aug2024 i.xlsx</t>
  </si>
  <si>
    <t>PROJECT SKK/FEB/%7BFEB_final%7D AFE 21-21A-001-OO TUTUNG - Starborn Energy_rev.03 Latest.xlsx</t>
  </si>
  <si>
    <t>PROJECT SKK/FEB/FEB Bukit Tua Ph2B AFE 19-21A-001-R1 - PC Ketapang.xlsx</t>
  </si>
  <si>
    <t>PROJECT SKK/FEB/FEB AFE SNB AOI_evaluated - AOI-1 AOI-3 AOI-5.xlsx</t>
  </si>
  <si>
    <t>PROJECT SKK/FEB/24-21A-904-OO BS EPSCC Manpatu - PHM.xlsx</t>
  </si>
  <si>
    <t>PROJECT SKK/FEB/FEB 24-21A-001-OO Hidayah Ph1 Sep2024 PC NMadura.xlsx</t>
  </si>
  <si>
    <t>PROJECT SKK/FEB/FEB AFE 22-21A-403-OO West Belut EPCI (fin).xlsx</t>
  </si>
  <si>
    <t>PROJECT SKK/FEB/FEB AFE EPCIC Bukit Panjang - PC Ketapang.xlsx</t>
  </si>
  <si>
    <t>PROJECT SKK/FEB/FEB_AFE_25-21A-029-OO - RISMA - PHE OSES.xlsx</t>
  </si>
  <si>
    <t>PROJECT SKK/FEB/FEB_25-21A-001-OO_Ande Ande Lumut - Prima Eng Nw Natuna.xlsx</t>
  </si>
  <si>
    <t>FEB AFE 23-21A-402-OO_EPCI Terubuk_r1 20Nov23 - Medco Natuna.xlsx</t>
  </si>
  <si>
    <t>PROJECT SKK/FEB/AFE EPCIC Sidayu_SKKMigas_20180705_w BS23.xlsx</t>
  </si>
  <si>
    <t>PROJECT SKK/FEB/FEB_AFE_21-21A-002-R1_PAUS BIRU.xlsx</t>
  </si>
  <si>
    <t>PROJECT SKK/FEB/FEB Belida Ext. Project SKK Migas - Final Eval Dec 20_21-21A-405 _ fin.xlsx</t>
  </si>
  <si>
    <t>PROJECT SKK/FEB/FEB CBS Forel-Bronang EPCI AFE 21-21A-402-OO_135jt_transportGTG.xlsx</t>
  </si>
  <si>
    <t>PROJECT SKK/FEB/FEB AFE 18-21A-218-R1 Meliwis WHP Revision-1_SKKMigas Evaluation 2Jul20 feb (eval2 GS).xlsx</t>
  </si>
  <si>
    <t>PROJECT SKK/FEB/%7BFEB New%7D 2019 07 23 FEB WHP Jumelai Sisi Nubi (JSN).xlsx</t>
  </si>
  <si>
    <t>PROJECT SKK/FEB/FEB_HCML_AFE 18-21A-001-OO&amp; 18-21A-002-OO_EPCI Well Head Platform....pdf</t>
  </si>
  <si>
    <t>Prima Energy Northwest Natuna</t>
  </si>
  <si>
    <t>Pipeline Specification</t>
  </si>
  <si>
    <t>Tonage (MT)</t>
  </si>
  <si>
    <t>COST - SUBSTRUCTIRES (US$)</t>
  </si>
  <si>
    <t>Marine System</t>
  </si>
  <si>
    <t>TOPSIDE - Living Quarter</t>
  </si>
  <si>
    <t>TOPSIDE Deck Structure</t>
  </si>
  <si>
    <t>TOPSIDE Production Facilities</t>
  </si>
  <si>
    <t>TOPSIDE LNG Processing Facilities</t>
  </si>
  <si>
    <t>TOPSIDE Utility Facilities</t>
  </si>
  <si>
    <t>Well Facilities</t>
  </si>
  <si>
    <t>Pipeline</t>
  </si>
  <si>
    <t>Commissioning &amp; Preservation</t>
  </si>
  <si>
    <t>Other</t>
  </si>
  <si>
    <t>Certification and Permit</t>
  </si>
  <si>
    <t>General Support</t>
  </si>
  <si>
    <t>SoW</t>
  </si>
  <si>
    <t>Nama Platform</t>
  </si>
  <si>
    <t>Material</t>
  </si>
  <si>
    <t>Panjang (km)</t>
  </si>
  <si>
    <t>Diameter (inch)</t>
  </si>
  <si>
    <t>Topsides/Deck</t>
  </si>
  <si>
    <t>Jacket</t>
  </si>
  <si>
    <t>Piles</t>
  </si>
  <si>
    <t>Conductor</t>
  </si>
  <si>
    <t>Total</t>
  </si>
  <si>
    <t>Survey</t>
  </si>
  <si>
    <t>Detail Engineering</t>
  </si>
  <si>
    <t>Materials</t>
  </si>
  <si>
    <t>Fabrication</t>
  </si>
  <si>
    <t>Transportation</t>
  </si>
  <si>
    <t>Installation &amp; HUC</t>
  </si>
  <si>
    <t>Subtotal</t>
  </si>
  <si>
    <t>Sub Total</t>
  </si>
  <si>
    <t>Sub-Total</t>
  </si>
  <si>
    <t>Pipe Cost/Km/inch</t>
  </si>
  <si>
    <t>PMT</t>
  </si>
  <si>
    <t>Insurance</t>
  </si>
  <si>
    <t>Allocated Overhead Field</t>
  </si>
  <si>
    <t>Allocated Overhead Jakarta</t>
  </si>
  <si>
    <t>VRA VRB</t>
  </si>
  <si>
    <t>Carbon steel dengan metallurgically banded clad 316L</t>
  </si>
  <si>
    <t>19,2 km dan 17,56 km</t>
  </si>
  <si>
    <t>24"</t>
  </si>
  <si>
    <t>18-21A-001</t>
  </si>
  <si>
    <t>ROA WDA</t>
  </si>
  <si>
    <t>28,1 km</t>
  </si>
  <si>
    <t>UBA UBB EGR</t>
  </si>
  <si>
    <t>CRA 316 L dan Inconel 625; CRA Inconel 625; CRA Inconel 625</t>
  </si>
  <si>
    <t>67,2 km; 3,5 km; 12,1 km</t>
  </si>
  <si>
    <t>24";12"; 12"</t>
  </si>
  <si>
    <t xml:space="preserve">WHP T-1, WHP TA-1, and Offshore Pipeline	</t>
  </si>
  <si>
    <t>2 km</t>
  </si>
  <si>
    <t>6"</t>
  </si>
  <si>
    <t>BTJT-B</t>
  </si>
  <si>
    <t xml:space="preserve">Carbon Steel </t>
  </si>
  <si>
    <t>3,6 km</t>
  </si>
  <si>
    <t>16"</t>
  </si>
  <si>
    <t>Carbonsteel trunkline Meliwis-Maleo</t>
  </si>
  <si>
    <t>11 km</t>
  </si>
  <si>
    <t>20"</t>
  </si>
  <si>
    <t>0</t>
  </si>
  <si>
    <t>JML-1</t>
  </si>
  <si>
    <t xml:space="preserve"> 6,79 km</t>
  </si>
  <si>
    <t>10"</t>
  </si>
  <si>
    <t xml:space="preserve">WPS-3 </t>
  </si>
  <si>
    <t>5 km</t>
  </si>
  <si>
    <t xml:space="preserve">WPN-4 </t>
  </si>
  <si>
    <t>4,3 km</t>
  </si>
  <si>
    <t>WHP</t>
  </si>
  <si>
    <t>WPS-4 WPS-4</t>
  </si>
  <si>
    <t>2,3 km dan 3,7 km</t>
  </si>
  <si>
    <t>8"</t>
  </si>
  <si>
    <t>WPN-5 WPN-6</t>
  </si>
  <si>
    <t>4,8 km dan 3,3 km</t>
  </si>
  <si>
    <t>WPN-7 WPN-8</t>
  </si>
  <si>
    <t>4,3 km dan 3,8 km</t>
  </si>
  <si>
    <t>MP-1</t>
  </si>
  <si>
    <t>3 km</t>
  </si>
  <si>
    <t>14"</t>
  </si>
  <si>
    <t>1 km</t>
  </si>
  <si>
    <t>Carbon Steel API 5L X65 PSL-2 NACE, SML</t>
  </si>
  <si>
    <t>5 km; 5 km</t>
  </si>
  <si>
    <t>12" ; 6"</t>
  </si>
  <si>
    <t>1 WHP, Pipeline 26 km 12,75"OD, Modifikasi Fasilitas Existing</t>
  </si>
  <si>
    <t>26 km</t>
  </si>
  <si>
    <t>12,75"</t>
  </si>
  <si>
    <t xml:space="preserve">WHP Forel, WHP Bronang, Pipeline 17 km 8", Sewa FPSO Bronang,  </t>
  </si>
  <si>
    <t>17 km</t>
  </si>
  <si>
    <t>2 WHP, Pipeline, Modifikasi DPPA</t>
  </si>
  <si>
    <t>1 km; 2,8 km</t>
  </si>
  <si>
    <t>12"</t>
  </si>
  <si>
    <t>WHP, Pipeline</t>
  </si>
  <si>
    <t>12,3 km</t>
  </si>
  <si>
    <t>API 5L X65</t>
  </si>
  <si>
    <t>54 km</t>
  </si>
  <si>
    <t>Naga</t>
  </si>
  <si>
    <t>Pelikan</t>
  </si>
  <si>
    <t>Risma</t>
  </si>
  <si>
    <t>Carbon Steel API 5L X 52</t>
  </si>
  <si>
    <t>Substructures (USD)</t>
  </si>
  <si>
    <t>Topside Deck Structure (USD)</t>
  </si>
  <si>
    <t>Topside Prod Facilities  (USD)</t>
  </si>
  <si>
    <t>Topside Util Facilities  (USD)</t>
  </si>
  <si>
    <t>Pipeline (USD)</t>
  </si>
  <si>
    <t>Other (sisa cost yang ga diambil)</t>
  </si>
  <si>
    <t>6,79 km</t>
  </si>
  <si>
    <t>12.75</t>
  </si>
  <si>
    <t>Pipe Length (km)</t>
  </si>
  <si>
    <t>Pipe Diameter (inch)</t>
  </si>
  <si>
    <t>12,1 km</t>
  </si>
  <si>
    <t>8 km</t>
  </si>
  <si>
    <t>12 km</t>
  </si>
  <si>
    <t>Pipe Sub-Total</t>
  </si>
  <si>
    <t>deck Sub-Total</t>
  </si>
  <si>
    <t>Production Sub-Total</t>
  </si>
  <si>
    <t>Sub Total General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</si>
</sst>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[$-409]mmm\-yy;@"/>
    <numFmt numFmtId="167" formatCode="_-* #,##0.00_-;_-* #,##0.00\-;_-* &quot;-&quot;??_-;_-@_-"/>
    <numFmt numFmtId="168" formatCode="_(* #,##0_);_(* \(#,##0\);_(* &quot;-&quot;??_);_(@_)"/>
  </numFmts>
  <fonts count="26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 Nova"/>
      <family val="2"/>
    </font>
    <font>
      <sz val="10"/>
      <color theme="1"/>
      <name val="Univers for BP Light"/>
      <family val="2"/>
    </font>
    <font>
      <sz val="10"/>
      <name val="MS Sans Serif"/>
    </font>
    <font>
      <sz val="12"/>
      <name val="Arial"/>
      <family val="2"/>
    </font>
    <font>
      <sz val="10"/>
      <color rgb="FF000000"/>
      <name val="Times New Roman"/>
      <family val="1"/>
    </font>
    <font>
      <sz val="11"/>
      <name val="Arial"/>
      <family val="2"/>
    </font>
    <font>
      <sz val="10"/>
      <color theme="1"/>
      <name val="Verdana"/>
      <family val="2"/>
    </font>
    <font>
      <sz val="11"/>
      <color theme="1"/>
      <name val="Aptos Narrow"/>
      <family val="2"/>
      <charset val="1"/>
      <scheme val="minor"/>
    </font>
    <font>
      <sz val="10"/>
      <color indexed="10"/>
      <name val="Arial"/>
      <family val="2"/>
    </font>
    <font>
      <sz val="8"/>
      <color theme="1"/>
      <name val="Univers 45 Light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99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6" fillId="0" borderId="0"/>
    <xf numFmtId="0" fontId="4" fillId="0" borderId="0"/>
    <xf numFmtId="43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6" fillId="0" borderId="0"/>
    <xf numFmtId="0" fontId="5" fillId="0" borderId="0"/>
    <xf numFmtId="166" fontId="4" fillId="0" borderId="0"/>
    <xf numFmtId="43" fontId="4" fillId="0" borderId="0" applyFont="0" applyFill="0" applyBorder="0" applyAlignment="0" applyProtection="0"/>
    <xf numFmtId="166" fontId="4" fillId="0" borderId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8" fillId="0" borderId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0" fillId="0" borderId="0"/>
    <xf numFmtId="167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3" fillId="0" borderId="1" xfId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11" fontId="3" fillId="0" borderId="1" xfId="1" applyNumberForma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6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1" fillId="0" borderId="1" xfId="0" applyFont="1" applyBorder="1" applyAlignment="1">
      <alignment horizontal="center" vertical="center"/>
    </xf>
    <xf numFmtId="3" fontId="20" fillId="0" borderId="1" xfId="0" applyNumberFormat="1" applyFont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164" fontId="20" fillId="0" borderId="1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0" fillId="3" borderId="1" xfId="0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3" borderId="1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3" fontId="0" fillId="6" borderId="1" xfId="0" applyNumberFormat="1" applyFill="1" applyBorder="1" applyAlignment="1">
      <alignment horizontal="right" vertical="center"/>
    </xf>
    <xf numFmtId="0" fontId="3" fillId="0" borderId="0" xfId="1" applyAlignment="1">
      <alignment vertical="center"/>
    </xf>
    <xf numFmtId="0" fontId="0" fillId="0" borderId="1" xfId="0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11" fontId="3" fillId="0" borderId="0" xfId="1" applyNumberFormat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right" vertical="center"/>
    </xf>
    <xf numFmtId="3" fontId="0" fillId="7" borderId="1" xfId="0" applyNumberFormat="1" applyFill="1" applyBorder="1" applyAlignment="1">
      <alignment horizontal="right" vertical="center"/>
    </xf>
    <xf numFmtId="164" fontId="0" fillId="7" borderId="1" xfId="197" applyFont="1" applyFill="1" applyBorder="1" applyAlignment="1">
      <alignment horizontal="right" vertical="center"/>
    </xf>
    <xf numFmtId="164" fontId="5" fillId="4" borderId="1" xfId="197" applyFont="1" applyFill="1" applyBorder="1" applyAlignment="1">
      <alignment horizontal="right" vertical="center"/>
    </xf>
    <xf numFmtId="164" fontId="0" fillId="4" borderId="1" xfId="197" applyFont="1" applyFill="1" applyBorder="1" applyAlignment="1">
      <alignment horizontal="right" vertical="center"/>
    </xf>
    <xf numFmtId="164" fontId="0" fillId="0" borderId="1" xfId="197" applyFont="1" applyBorder="1" applyAlignment="1">
      <alignment horizontal="right" vertical="center"/>
    </xf>
    <xf numFmtId="168" fontId="0" fillId="0" borderId="1" xfId="197" applyNumberFormat="1" applyFont="1" applyBorder="1" applyAlignment="1">
      <alignment horizontal="right" vertical="center"/>
    </xf>
    <xf numFmtId="0" fontId="0" fillId="0" borderId="2" xfId="0" applyBorder="1" applyAlignment="1">
      <alignment vertical="center"/>
    </xf>
    <xf numFmtId="3" fontId="0" fillId="0" borderId="0" xfId="0" applyNumberFormat="1" applyAlignment="1">
      <alignment horizontal="right" vertical="center"/>
    </xf>
    <xf numFmtId="9" fontId="0" fillId="0" borderId="0" xfId="198" applyFont="1"/>
    <xf numFmtId="0" fontId="17" fillId="3" borderId="3" xfId="0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right" vertical="center"/>
    </xf>
    <xf numFmtId="4" fontId="0" fillId="3" borderId="1" xfId="0" applyNumberFormat="1" applyFill="1" applyBorder="1" applyAlignment="1">
      <alignment horizontal="right" vertical="center"/>
    </xf>
    <xf numFmtId="164" fontId="0" fillId="3" borderId="1" xfId="197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5" fillId="3" borderId="1" xfId="197" applyFont="1" applyFill="1" applyBorder="1" applyAlignment="1">
      <alignment horizontal="right" vertical="center"/>
    </xf>
    <xf numFmtId="164" fontId="16" fillId="3" borderId="1" xfId="197" applyFont="1" applyFill="1" applyBorder="1" applyAlignment="1">
      <alignment horizontal="right" vertical="center"/>
    </xf>
    <xf numFmtId="3" fontId="0" fillId="0" borderId="1" xfId="0" applyNumberFormat="1" applyBorder="1" applyAlignment="1">
      <alignment vertical="center"/>
    </xf>
    <xf numFmtId="3" fontId="0" fillId="0" borderId="3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3" fontId="16" fillId="0" borderId="0" xfId="0" applyNumberFormat="1" applyFont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3" fontId="16" fillId="3" borderId="1" xfId="0" applyNumberFormat="1" applyFont="1" applyFill="1" applyBorder="1" applyAlignment="1">
      <alignment horizontal="right" vertical="center"/>
    </xf>
    <xf numFmtId="0" fontId="16" fillId="3" borderId="1" xfId="0" applyFont="1" applyFill="1" applyBorder="1" applyAlignment="1">
      <alignment horizontal="right" vertical="center"/>
    </xf>
    <xf numFmtId="164" fontId="16" fillId="3" borderId="1" xfId="0" applyNumberFormat="1" applyFont="1" applyFill="1" applyBorder="1" applyAlignment="1">
      <alignment horizontal="right" vertical="center"/>
    </xf>
    <xf numFmtId="0" fontId="25" fillId="0" borderId="8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</cellXfs>
  <cellStyles count="199">
    <cellStyle name="Comma" xfId="197" builtinId="3"/>
    <cellStyle name="Comma [0] 10" xfId="22" xr:uid="{44F3D912-364C-4614-A727-ABEA72CF7FF7}"/>
    <cellStyle name="Comma [0] 2" xfId="20" xr:uid="{8FEFF703-0282-4C18-9087-C768B94367E2}"/>
    <cellStyle name="Comma [0] 2 2" xfId="33" xr:uid="{706786B4-5A3C-4099-A635-5003A041C680}"/>
    <cellStyle name="Comma [0] 2 2 2" xfId="91" xr:uid="{E6EB8B8D-A643-4248-A4C7-AF31171A17A7}"/>
    <cellStyle name="Comma [0] 2 3" xfId="69" xr:uid="{63C33D96-5BB1-4769-8D20-9D093435A7BB}"/>
    <cellStyle name="Comma [0] 2 3 2" xfId="92" xr:uid="{480D5847-9561-4764-B189-7B01A7376503}"/>
    <cellStyle name="Comma [0] 2 4" xfId="93" xr:uid="{7559E7E9-C774-461F-8D04-3949E71375DE}"/>
    <cellStyle name="Comma [0] 2 5" xfId="181" xr:uid="{3065BD5F-45B1-4BC0-BE4F-A89280704290}"/>
    <cellStyle name="Comma [0] 3" xfId="27" xr:uid="{5B70F8A4-AAE0-4104-B8A2-2535DA553304}"/>
    <cellStyle name="Comma [0] 3 2" xfId="67" xr:uid="{BADD3806-2D84-4EA7-A64B-5720ACDACB4A}"/>
    <cellStyle name="Comma [0] 3 2 2" xfId="94" xr:uid="{A2608E54-0913-417D-854C-AD3FABEE9F1E}"/>
    <cellStyle name="Comma [0] 3 3" xfId="95" xr:uid="{AF61A049-7949-44A4-90F6-51947665255B}"/>
    <cellStyle name="Comma [0] 4" xfId="30" xr:uid="{A25D5760-CA12-4D5D-BD07-CFC9A96252E1}"/>
    <cellStyle name="Comma [0] 4 2" xfId="96" xr:uid="{3AA303FA-76C6-4133-8E52-0EFBA7125312}"/>
    <cellStyle name="Comma [0] 5" xfId="41" xr:uid="{9C25DDA1-3A89-4088-9C44-ED8583C7F546}"/>
    <cellStyle name="Comma [0] 5 2" xfId="97" xr:uid="{51D5C5FE-7560-4CE4-B805-A9EBE7CFC007}"/>
    <cellStyle name="Comma [0] 6" xfId="74" xr:uid="{5C5C0C6B-C9B8-42CA-B30F-35DDD4B2F0F6}"/>
    <cellStyle name="Comma [0] 6 2" xfId="98" xr:uid="{C82F91FE-2F65-40E9-9D12-3B7365B322A5}"/>
    <cellStyle name="Comma [0] 7" xfId="99" xr:uid="{485872B7-A168-44C5-94E0-74CE279DB495}"/>
    <cellStyle name="Comma [0] 8" xfId="79" xr:uid="{B530F1DC-993C-40C1-B7B9-DC4C9EF50F53}"/>
    <cellStyle name="Comma [0] 8 2" xfId="87" xr:uid="{762330D7-BB1E-4DDE-BBAD-B4FA52444C44}"/>
    <cellStyle name="Comma [0] 8 2 2" xfId="100" xr:uid="{EC00752E-263F-4138-99CB-5D4C68AD34F5}"/>
    <cellStyle name="Comma [0] 8 2 3" xfId="163" xr:uid="{450A0371-DF70-4A05-A1E7-51196221FB33}"/>
    <cellStyle name="Comma [0] 8 3" xfId="101" xr:uid="{037DE511-DC7A-4A91-BFE1-494F251187B7}"/>
    <cellStyle name="Comma [0] 9" xfId="178" xr:uid="{FCBA39A9-BA8D-43BA-8E7E-94EF84E28CD2}"/>
    <cellStyle name="Comma 10" xfId="155" xr:uid="{E05EDFD4-7456-490F-98D3-5DD426BE8275}"/>
    <cellStyle name="Comma 10 2 2" xfId="7" xr:uid="{50C3DD30-2420-4B79-BF8D-6E5037EF5DF1}"/>
    <cellStyle name="Comma 10 2 2 2" xfId="102" xr:uid="{CA6B2380-61E0-4EA0-949E-589E6AB0E5A5}"/>
    <cellStyle name="Comma 11" xfId="156" xr:uid="{E8BAFA24-F669-4089-8040-B7E5D092CA66}"/>
    <cellStyle name="Comma 12" xfId="77" xr:uid="{AF5C5830-4C4B-429A-B897-558A51B5F842}"/>
    <cellStyle name="Comma 12 2" xfId="85" xr:uid="{B6361A32-2E53-4685-8A4A-A3891A6510DF}"/>
    <cellStyle name="Comma 12 2 2" xfId="103" xr:uid="{01C095EA-7325-4DDB-8EEC-EE83646B0C81}"/>
    <cellStyle name="Comma 12 3" xfId="104" xr:uid="{00C01274-66D0-4B7A-BA4C-ABA4636A087A}"/>
    <cellStyle name="Comma 13" xfId="157" xr:uid="{ECB34F65-517F-4852-B060-3483B802966E}"/>
    <cellStyle name="Comma 14" xfId="159" xr:uid="{985F8F78-96A7-4BEF-866E-FB52E42E543A}"/>
    <cellStyle name="Comma 14 2" xfId="170" xr:uid="{FD0DE7BC-2A20-4C0A-8817-42531B15A5A0}"/>
    <cellStyle name="Comma 15" xfId="166" xr:uid="{3E170106-8F77-4034-8639-3452785BAAA8}"/>
    <cellStyle name="Comma 16" xfId="176" xr:uid="{313E4D85-5712-47CE-88FE-3DB84B77E0A7}"/>
    <cellStyle name="Comma 17" xfId="194" xr:uid="{EED9B3B8-886F-4867-8F42-0FB62B6F65DA}"/>
    <cellStyle name="Comma 18" xfId="17" xr:uid="{5F8E69C1-6B29-4C59-9D47-941629096AC8}"/>
    <cellStyle name="Comma 19" xfId="196" xr:uid="{99F54511-1E3A-4FD4-AF2B-C2B70629F8D2}"/>
    <cellStyle name="Comma 2" xfId="5" xr:uid="{2C921040-CDD5-461D-A68D-237410AC7771}"/>
    <cellStyle name="Comma 2 2" xfId="14" xr:uid="{E42274F1-271C-448C-AFBE-AE4BABE8148E}"/>
    <cellStyle name="Comma 2 2 2" xfId="50" xr:uid="{C2001AB5-13E3-4428-8069-E6773E410475}"/>
    <cellStyle name="Comma 2 2 3" xfId="105" xr:uid="{78CFAD9E-7EC8-45D4-8A6D-B7668D591CFF}"/>
    <cellStyle name="Comma 2 2 4" xfId="182" xr:uid="{EEA62E79-8542-4288-B3FF-CB7156253CC1}"/>
    <cellStyle name="Comma 2 3" xfId="21" xr:uid="{831810DF-04E7-497E-B702-97B51A82F82A}"/>
    <cellStyle name="Comma 2 3 2" xfId="54" xr:uid="{08A52CF1-2855-40D0-A07C-08BEE50FD9AA}"/>
    <cellStyle name="Comma 2 3 2 2" xfId="106" xr:uid="{D9797FED-65AC-477D-9BA6-347A83415BD7}"/>
    <cellStyle name="Comma 2 3 3" xfId="107" xr:uid="{7B2699FF-9D37-4905-893C-E06D42F7D630}"/>
    <cellStyle name="Comma 2 4" xfId="47" xr:uid="{05ACE340-7E70-4289-BDA9-69D370BB3217}"/>
    <cellStyle name="Comma 2 5" xfId="108" xr:uid="{165A0A68-4CFE-4192-B70E-D7BF33B9CA2B}"/>
    <cellStyle name="Comma 3" xfId="16" xr:uid="{210B47EB-A411-4DEE-A6D1-412695E58E46}"/>
    <cellStyle name="Comma 3 2" xfId="45" xr:uid="{7A716F14-5CEF-47F4-932B-C3F0E87322FB}"/>
    <cellStyle name="Comma 3 2 2" xfId="109" xr:uid="{EBD4CEE4-BB63-4104-AF91-9000186BE74C}"/>
    <cellStyle name="Comma 3 3" xfId="64" xr:uid="{2EB017B6-3C86-49C0-9DAA-7ED389177808}"/>
    <cellStyle name="Comma 3 3 2" xfId="110" xr:uid="{D775B61E-C44D-45D2-8A72-D65078A81132}"/>
    <cellStyle name="Comma 3 4" xfId="111" xr:uid="{4A877A17-62C7-4E90-8DBB-8FFF68A0C43D}"/>
    <cellStyle name="Comma 3 5" xfId="183" xr:uid="{D97145FE-7659-4A44-9F33-4489A6B0E925}"/>
    <cellStyle name="Comma 4" xfId="24" xr:uid="{8C3AB59B-2D43-48F0-906E-545226A478E5}"/>
    <cellStyle name="Comma 4 2" xfId="57" xr:uid="{AD995F51-009B-4DE3-A3CD-867EADC607C2}"/>
    <cellStyle name="Comma 4 2 2" xfId="112" xr:uid="{83A90411-E02E-4F4A-A317-6A73A35FDD79}"/>
    <cellStyle name="Comma 4 3" xfId="35" xr:uid="{DA4BB47E-6024-43D6-9539-81C234ABDFC9}"/>
    <cellStyle name="Comma 4 3 2" xfId="113" xr:uid="{43E7E50D-0EC0-483B-AA50-5F6C68E3E4FA}"/>
    <cellStyle name="Comma 4 4" xfId="114" xr:uid="{E19A3FF9-AA48-419D-8FB4-84BEE1CC6FF4}"/>
    <cellStyle name="Comma 4 5" xfId="193" xr:uid="{1E1482DF-4DA5-4A40-95D5-5D9C9293E87A}"/>
    <cellStyle name="Comma 5" xfId="38" xr:uid="{FC8F9056-3C62-4775-9309-4BD8BF7D8188}"/>
    <cellStyle name="Comma 5 2" xfId="59" xr:uid="{E1F415B1-B34C-4743-B8E0-02850B1B9068}"/>
    <cellStyle name="Comma 5 2 2" xfId="115" xr:uid="{CAD0CB60-E8FD-4CB1-B26B-E21C7B50FEEF}"/>
    <cellStyle name="Comma 5 3" xfId="70" xr:uid="{2ECCA82C-2F5B-4363-9E62-349F339CEF6E}"/>
    <cellStyle name="Comma 5 3 2" xfId="116" xr:uid="{8F6F8AD2-FEE1-4406-9B51-1A2C2E2D3520}"/>
    <cellStyle name="Comma 5 4" xfId="117" xr:uid="{435B0269-4622-4EF1-9053-AE518A59A737}"/>
    <cellStyle name="Comma 5 5" xfId="82" xr:uid="{13380172-1910-45C2-BFD1-806F45A5BF25}"/>
    <cellStyle name="Comma 5 5 2" xfId="89" xr:uid="{EEB7B521-8914-459B-92C1-1AB687E19BFF}"/>
    <cellStyle name="Comma 5 5 2 2" xfId="118" xr:uid="{191FB815-96AD-4E5D-A52F-DCEC345161E1}"/>
    <cellStyle name="Comma 5 5 3" xfId="119" xr:uid="{086BDC63-FBC1-4D34-983C-D029EDD55DB5}"/>
    <cellStyle name="Comma 5 6" xfId="162" xr:uid="{43B9B206-539F-4BCD-8D1B-32BA95F37B43}"/>
    <cellStyle name="Comma 5 7" xfId="167" xr:uid="{0DA2000B-83AB-451E-9D11-1317AF85E668}"/>
    <cellStyle name="Comma 5 8" xfId="187" xr:uid="{5F99D96F-0EFC-4014-B54B-D03302B64706}"/>
    <cellStyle name="Comma 6" xfId="43" xr:uid="{F7F0ABC5-911C-4518-B661-725D1439ACE7}"/>
    <cellStyle name="Comma 6 2" xfId="120" xr:uid="{9C60FDEC-29B5-4C06-88E9-3B65F7510ED7}"/>
    <cellStyle name="Comma 7" xfId="66" xr:uid="{57107A3B-56FD-4890-A5CF-9F9CDFF87F0E}"/>
    <cellStyle name="Comma 7 2" xfId="121" xr:uid="{A6B8E1A6-FE4A-44D1-8551-2C25A532F208}"/>
    <cellStyle name="Comma 8" xfId="72" xr:uid="{AE758403-7C67-44CF-8CD6-BCFF8E5F3E0A}"/>
    <cellStyle name="Comma 8 2" xfId="122" xr:uid="{1ABE2B6C-B590-4787-BD6D-FC9AE48BAB9B}"/>
    <cellStyle name="Comma 8 3" xfId="81" xr:uid="{E39808CC-4227-4831-8BE7-0A72E9B968C5}"/>
    <cellStyle name="Comma 8 3 2" xfId="88" xr:uid="{D82498EE-CE5F-42EC-877E-36260078705A}"/>
    <cellStyle name="Comma 8 3 2 2" xfId="123" xr:uid="{BB1E9B16-78A9-4557-AE23-11314EF57C2E}"/>
    <cellStyle name="Comma 8 3 2 3" xfId="161" xr:uid="{E4496886-301F-484D-B62E-04A579D2C4B4}"/>
    <cellStyle name="Comma 8 3 2 3 2" xfId="172" xr:uid="{F09FE992-FDB8-44FC-965E-3B181BAAF1D3}"/>
    <cellStyle name="Comma 8 3 3" xfId="124" xr:uid="{C632E64D-0503-47BD-AFDE-19F19FCF1A8F}"/>
    <cellStyle name="Comma 9" xfId="125" xr:uid="{138CD02D-3755-4FBF-8E40-8A9705804053}"/>
    <cellStyle name="Currency 2" xfId="36" xr:uid="{8DBEF091-78C3-48C9-830E-F6306789FA0F}"/>
    <cellStyle name="Currency 2 2" xfId="126" xr:uid="{3C693E6D-8B66-490D-861D-FEBE80F4F307}"/>
    <cellStyle name="Currency 2 3" xfId="6" xr:uid="{978D67BF-8991-4CCA-8768-034C1248B9B6}"/>
    <cellStyle name="Currency 3" xfId="40" xr:uid="{A243A0A2-4D70-4699-BDF3-9B2C52137A78}"/>
    <cellStyle name="Currency 3 2" xfId="127" xr:uid="{4F078AEF-8217-4F46-9257-87512F7B4D64}"/>
    <cellStyle name="Currency 3 3" xfId="189" xr:uid="{9EE47F0D-6AA6-4576-8956-2FDB51D42670}"/>
    <cellStyle name="Currency 4" xfId="175" xr:uid="{2F7FF82B-5AC0-401B-B2AA-748064802398}"/>
    <cellStyle name="Hyperlink" xfId="1" builtinId="8"/>
    <cellStyle name="Normal" xfId="0" builtinId="0"/>
    <cellStyle name="Normal 10" xfId="52" xr:uid="{BA2F0DED-F584-4BDE-BC91-974264119110}"/>
    <cellStyle name="Normal 11" xfId="13" xr:uid="{62E425BD-99E0-43F9-A969-F5B4D89403B9}"/>
    <cellStyle name="Normal 12" xfId="158" xr:uid="{0E6D2502-AD01-4A15-81CC-BF4098A37836}"/>
    <cellStyle name="Normal 12 2" xfId="169" xr:uid="{02C453A7-6EB4-4341-BCF1-657FFE9D7A40}"/>
    <cellStyle name="Normal 12 3" xfId="173" xr:uid="{6537DE1F-53F8-43DF-8553-9197F98CB153}"/>
    <cellStyle name="Normal 13" xfId="174" xr:uid="{ADDAA80D-EBE5-46C9-B9B5-7F1124245C05}"/>
    <cellStyle name="Normal 13 2" xfId="83" xr:uid="{C99E4C10-FDF2-41F1-B74A-52CFE0B84521}"/>
    <cellStyle name="Normal 13 2 2" xfId="90" xr:uid="{ED594252-DDE4-4D4F-94E2-E40006EA26CD}"/>
    <cellStyle name="Normal 13 2 2 2" xfId="128" xr:uid="{ECD5F82F-E199-4622-ABFA-0D3ED93C1C14}"/>
    <cellStyle name="Normal 13 2 2 3" xfId="164" xr:uid="{ACE39997-5278-4D4C-9D42-80DC7A2B4547}"/>
    <cellStyle name="Normal 13 2 3" xfId="129" xr:uid="{ACECD39F-B09D-4E59-B3E3-5D1F6A903FB2}"/>
    <cellStyle name="Normal 14" xfId="76" xr:uid="{ADFDD711-972B-42E3-ABFF-4F94753307B5}"/>
    <cellStyle name="Normal 14 2" xfId="84" xr:uid="{1A585214-ACF3-45C3-A9DD-873C4AC0DEAB}"/>
    <cellStyle name="Normal 14 2 2" xfId="130" xr:uid="{D6A51360-C4A7-45ED-B116-9CAC0CA8DCBB}"/>
    <cellStyle name="Normal 14 2 3" xfId="165" xr:uid="{8447C305-A6B6-45FF-AFC0-2631364E8D9C}"/>
    <cellStyle name="Normal 14 3" xfId="131" xr:uid="{90FB9A14-E258-4B87-A65D-5FC56CD57ABD}"/>
    <cellStyle name="Normal 15" xfId="3" xr:uid="{012A1735-37E7-474E-9276-4F524A03135A}"/>
    <cellStyle name="Normal 2" xfId="4" xr:uid="{7101C42E-52B9-4287-AC8C-8086E165AE58}"/>
    <cellStyle name="Normal 2 2" xfId="2" xr:uid="{A00746A9-93DC-45B4-9884-343E01D03676}"/>
    <cellStyle name="Normal 2 2 2" xfId="46" xr:uid="{ACAB474E-B898-44C7-84ED-5ECFC47156A9}"/>
    <cellStyle name="Normal 2 2 2 2" xfId="191" xr:uid="{548F5C6E-A941-42D5-A131-B9046240B425}"/>
    <cellStyle name="Normal 2 3" xfId="15" xr:uid="{14E2557E-0C5E-430D-A567-D8BC6AEC7211}"/>
    <cellStyle name="Normal 2 3 2" xfId="53" xr:uid="{255BC685-D571-4B6D-8E96-72004CF69C4F}"/>
    <cellStyle name="Normal 2 3 3" xfId="179" xr:uid="{EE9CCA61-F44B-4640-A76D-9164B1382BA6}"/>
    <cellStyle name="Normal 2 4" xfId="18" xr:uid="{3BAE1483-4287-4498-91D0-ED5A070947B4}"/>
    <cellStyle name="Normal 2 4 2" xfId="132" xr:uid="{C394D6BC-0F22-4D4D-9434-254A77EFD777}"/>
    <cellStyle name="Normal 2 5" xfId="25" xr:uid="{CE0E8441-46B6-4472-87AD-E7CBE88FFEBE}"/>
    <cellStyle name="Normal 2 5 2" xfId="34" xr:uid="{FF2A2D48-BB01-43FA-A654-FDF64A16D072}"/>
    <cellStyle name="Normal 2 5 2 2" xfId="133" xr:uid="{760894E5-758C-4D23-983E-3B926327E65E}"/>
    <cellStyle name="Normal 2 5 3" xfId="134" xr:uid="{9C89173C-FEEB-4FA3-B8DE-87CDF133521C}"/>
    <cellStyle name="Normal 2 6" xfId="29" xr:uid="{17529761-5A8D-4DCC-8574-EF5CDD45FBD4}"/>
    <cellStyle name="Normal 2 7" xfId="49" xr:uid="{92F53E1B-20A8-4561-A8C4-6806499E7124}"/>
    <cellStyle name="Normal 3" xfId="9" xr:uid="{5A7E1838-F6F4-46F3-AD62-99B624BC7FBE}"/>
    <cellStyle name="Normal 3 15" xfId="11" xr:uid="{EEC216CA-EA64-47FA-B272-B2C4A0CB5D6D}"/>
    <cellStyle name="Normal 3 2" xfId="44" xr:uid="{11C760CD-1AAA-4817-9239-D2EB32A8AE67}"/>
    <cellStyle name="Normal 3 3" xfId="135" xr:uid="{4E0CCA7C-C48A-4D33-A802-60C1B19DA159}"/>
    <cellStyle name="Normal 3 3 2" xfId="185" xr:uid="{7AC78C81-ACE0-479C-B208-FAF3FD1704ED}"/>
    <cellStyle name="Normal 4" xfId="12" xr:uid="{DA4CB985-E07D-4237-8AF0-599AC5C25F09}"/>
    <cellStyle name="Normal 4 2" xfId="19" xr:uid="{9A6D83B9-F2A9-408E-B825-2C2998BA9C3C}"/>
    <cellStyle name="Normal 4 2 2" xfId="136" xr:uid="{012DE963-C549-48AC-8027-7B7C393856C9}"/>
    <cellStyle name="Normal 4 3" xfId="51" xr:uid="{1176CDEF-DB33-4178-BD31-83EA3A4DB843}"/>
    <cellStyle name="Normal 4 4" xfId="137" xr:uid="{136E21E4-CF69-4700-B2C4-6EFCB83B013B}"/>
    <cellStyle name="Normal 4 5" xfId="180" xr:uid="{7899CCE0-3E8E-4D84-AA26-C4775B2E71D8}"/>
    <cellStyle name="Normal 5" xfId="23" xr:uid="{2E21F854-E7A0-424A-BAA1-D4746F0D84F1}"/>
    <cellStyle name="Normal 5 2" xfId="60" xr:uid="{78C49376-E865-4612-AE8F-9A89004FD9E1}"/>
    <cellStyle name="Normal 5 3" xfId="56" xr:uid="{38AC963C-184A-4F23-8587-5EA533805D17}"/>
    <cellStyle name="Normal 5 4" xfId="138" xr:uid="{4B846948-340F-4749-9917-8216DBF153E9}"/>
    <cellStyle name="Normal 6" xfId="28" xr:uid="{AB065E30-B622-4A84-B178-F7558850D98B}"/>
    <cellStyle name="Normal 6 2" xfId="139" xr:uid="{CC7B9299-162C-4832-A290-ACC5F4FFC688}"/>
    <cellStyle name="Normal 7" xfId="37" xr:uid="{AEC6E9B8-83B5-43F5-81D0-604CC336AC49}"/>
    <cellStyle name="Normal 7 2" xfId="63" xr:uid="{943389A4-56D3-4303-93E2-3774CB24FC2E}"/>
    <cellStyle name="Normal 7 2 2" xfId="140" xr:uid="{10BA5F18-EC9F-47F7-929B-F1451689D464}"/>
    <cellStyle name="Normal 7 3" xfId="141" xr:uid="{154F93EC-4B05-4F47-BDF2-484D7E517F02}"/>
    <cellStyle name="Normal 7 4" xfId="186" xr:uid="{7CF7F8A7-9C99-463A-B829-F53A56B0363D}"/>
    <cellStyle name="Normal 8" xfId="42" xr:uid="{60DEE69E-7E89-4FEB-B132-88CA24CD5AD9}"/>
    <cellStyle name="Normal 8 2" xfId="142" xr:uid="{37BDCB78-283E-4D6A-9576-6B59A653B1C2}"/>
    <cellStyle name="Normal 9" xfId="71" xr:uid="{99490A08-EF3A-42CF-8F47-49E418FEE5D9}"/>
    <cellStyle name="Normal 9 2" xfId="80" xr:uid="{7B0C1A15-98C1-430B-97D9-8A30D78B11F0}"/>
    <cellStyle name="Normal 9 3" xfId="143" xr:uid="{32F81815-D89A-4762-BB8B-94A423AADEE7}"/>
    <cellStyle name="Percent" xfId="198" builtinId="5"/>
    <cellStyle name="Percent 10" xfId="168" xr:uid="{BE658C11-8F84-4338-ACEB-FEF6A47F16AD}"/>
    <cellStyle name="Percent 11" xfId="78" xr:uid="{11B073E4-04EC-4D8C-9A60-8AF9189BF484}"/>
    <cellStyle name="Percent 11 2" xfId="86" xr:uid="{47AE80B6-FB32-468E-ADAA-8922E7A52551}"/>
    <cellStyle name="Percent 11 2 2" xfId="144" xr:uid="{63095F30-0EA5-49FB-8FFA-BBAB3297E5A7}"/>
    <cellStyle name="Percent 11 3" xfId="145" xr:uid="{2822763F-8819-4A7A-AC30-23790F645CF2}"/>
    <cellStyle name="Percent 12" xfId="177" xr:uid="{57663241-55AD-4D5F-A0C7-F9BFDE421127}"/>
    <cellStyle name="Percent 13" xfId="195" xr:uid="{B937FF43-EF67-42F0-8FC0-0D4168E0393D}"/>
    <cellStyle name="Percent 14" xfId="8" xr:uid="{424E1E5F-F51F-47F4-A5A6-01F297E9076B}"/>
    <cellStyle name="Percent 2" xfId="10" xr:uid="{67FAAA4C-4FBC-49D8-B510-542D47E2535D}"/>
    <cellStyle name="Percent 2 2" xfId="55" xr:uid="{34E9FC9E-5DC8-4616-A2C0-051BF9AC0E5E}"/>
    <cellStyle name="Percent 2 2 2" xfId="192" xr:uid="{389BCE59-42B9-43FC-8C24-927E8576E028}"/>
    <cellStyle name="Percent 2 3" xfId="32" xr:uid="{B4EA6A24-B5AE-4E38-8300-0C8D2C8D27C9}"/>
    <cellStyle name="Percent 2 3 2" xfId="146" xr:uid="{132DF351-D33A-412B-B877-87DCF139D11D}"/>
    <cellStyle name="Percent 2 4" xfId="48" xr:uid="{D7692537-1060-438C-8FA6-8080CFAC7C03}"/>
    <cellStyle name="Percent 2 5" xfId="75" xr:uid="{8CC91DFF-EAB9-4F27-9844-334692C1850D}"/>
    <cellStyle name="Percent 2 5 2" xfId="147" xr:uid="{F3765B27-482C-4959-8A61-523A4815D508}"/>
    <cellStyle name="Percent 2 6" xfId="148" xr:uid="{F04D7976-E0FD-4D12-91C5-480FEA856F47}"/>
    <cellStyle name="Percent 2 7" xfId="184" xr:uid="{6093402C-D11C-4A99-8054-4FF6498A449D}"/>
    <cellStyle name="Percent 3" xfId="26" xr:uid="{56707C81-3824-49D4-887A-D54C738F4EC5}"/>
    <cellStyle name="Percent 3 2" xfId="149" xr:uid="{4E6DC186-E1D8-42FD-A233-9D2E9654B7FD}"/>
    <cellStyle name="Percent 3 3" xfId="190" xr:uid="{249B0598-0C3B-4B46-B623-A5C5A2AF11A2}"/>
    <cellStyle name="Percent 4" xfId="31" xr:uid="{81312368-04BC-4193-8DCA-10EAD568D25B}"/>
    <cellStyle name="Percent 4 2" xfId="65" xr:uid="{393EF6DC-F651-474E-8ECF-E813338F0988}"/>
    <cellStyle name="Percent 4 2 2" xfId="150" xr:uid="{BF86B5BB-6593-4855-B7FC-90955A2722DB}"/>
    <cellStyle name="Percent 4 3" xfId="151" xr:uid="{E2CC9E9C-C2C4-4E1D-8138-FD4971E32FE1}"/>
    <cellStyle name="Percent 5" xfId="39" xr:uid="{4FB85968-935F-41D8-BE2F-50E112AFBEFC}"/>
    <cellStyle name="Percent 5 2" xfId="152" xr:uid="{6EAD8AF6-D249-4CB4-9754-639DB30697BA}"/>
    <cellStyle name="Percent 5 3" xfId="188" xr:uid="{C9FDEA4B-6BC7-43CB-9744-B2986B971C61}"/>
    <cellStyle name="Percent 6" xfId="58" xr:uid="{F4BAED10-F2E7-482E-B93E-7ADC21D80857}"/>
    <cellStyle name="Percent 6 2" xfId="153" xr:uid="{9C83AAE9-63F4-4140-BF1B-39FD20E6E749}"/>
    <cellStyle name="Percent 7" xfId="68" xr:uid="{36210810-43A3-4C61-B125-A93C822E9296}"/>
    <cellStyle name="Percent 8" xfId="73" xr:uid="{52EE0BBD-ACBF-488D-8EAA-E7AFDCDA164C}"/>
    <cellStyle name="Percent 8 2" xfId="154" xr:uid="{23A83BF1-5C27-4A8C-BA95-9869A652E7FC}"/>
    <cellStyle name="Percent 9" xfId="160" xr:uid="{0F3A87E3-101A-4619-8BBC-A78E5F6895E2}"/>
    <cellStyle name="Percent 9 2" xfId="171" xr:uid="{ACC0B91E-E8F0-4355-A053-6721C326C6EA}"/>
    <cellStyle name="TpHighlightChanges" xfId="62" xr:uid="{E23D8175-47AC-4684-9B0A-20A75F0117C9}"/>
    <cellStyle name="TpNewEquip" xfId="61" xr:uid="{FE8E58FE-CBBB-489B-87E1-7E4E5AE6A64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1BCB3511-848D-4B99-9104-C960B0E471FA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500465</xdr:colOff>
      <xdr:row>49</xdr:row>
      <xdr:rowOff>88793</xdr:rowOff>
    </xdr:from>
    <xdr:to>
      <xdr:col>6</xdr:col>
      <xdr:colOff>911918</xdr:colOff>
      <xdr:row>70</xdr:row>
      <xdr:rowOff>131265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2D1981-4CD6-294A-BFCF-B6CA0C445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365" y="10858393"/>
          <a:ext cx="6423718" cy="4042972"/>
        </a:xfrm>
        <a:prstGeom prst="rect">
          <a:avLst/>
        </a:prstGeom>
      </xdr:spPr>
    </xdr:pic>
    <xdr:clientData/>
  </xdr:twoCellAnchor>
  <xdr:twoCellAnchor editAs="oneCell">
    <xdr:from>
      <xdr:col>99</xdr:col>
      <xdr:colOff>42061</xdr:colOff>
      <xdr:row>1</xdr:row>
      <xdr:rowOff>106327</xdr:rowOff>
    </xdr:from>
    <xdr:to>
      <xdr:col>108</xdr:col>
      <xdr:colOff>400117</xdr:colOff>
      <xdr:row>7</xdr:row>
      <xdr:rowOff>199590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59DF98-82E6-F345-9B26-327D89E3F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50861" y="373027"/>
          <a:ext cx="6415956" cy="1591863"/>
        </a:xfrm>
        <a:prstGeom prst="rect">
          <a:avLst/>
        </a:prstGeom>
      </xdr:spPr>
    </xdr:pic>
    <xdr:clientData/>
  </xdr:twoCellAnchor>
  <xdr:twoCellAnchor editAs="oneCell">
    <xdr:from>
      <xdr:col>110</xdr:col>
      <xdr:colOff>162858</xdr:colOff>
      <xdr:row>0</xdr:row>
      <xdr:rowOff>149909</xdr:rowOff>
    </xdr:from>
    <xdr:to>
      <xdr:col>123</xdr:col>
      <xdr:colOff>441396</xdr:colOff>
      <xdr:row>8</xdr:row>
      <xdr:rowOff>212294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6E4C92-507A-D64F-B412-5800619CF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775758" y="149909"/>
          <a:ext cx="9028838" cy="2043585"/>
        </a:xfrm>
        <a:prstGeom prst="rect">
          <a:avLst/>
        </a:prstGeom>
      </xdr:spPr>
    </xdr:pic>
    <xdr:clientData/>
  </xdr:twoCellAnchor>
  <xdr:twoCellAnchor>
    <xdr:from>
      <xdr:col>78</xdr:col>
      <xdr:colOff>667731</xdr:colOff>
      <xdr:row>36</xdr:row>
      <xdr:rowOff>144545</xdr:rowOff>
    </xdr:from>
    <xdr:to>
      <xdr:col>82</xdr:col>
      <xdr:colOff>534184</xdr:colOff>
      <xdr:row>51</xdr:row>
      <xdr:rowOff>177539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533A400-8D95-C949-ABA0-E525EDF615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471481" y="8418595"/>
              <a:ext cx="4660703" cy="27952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116783</xdr:colOff>
      <xdr:row>35</xdr:row>
      <xdr:rowOff>14599</xdr:rowOff>
    </xdr:from>
    <xdr:to>
      <xdr:col>5</xdr:col>
      <xdr:colOff>150902</xdr:colOff>
      <xdr:row>44</xdr:row>
      <xdr:rowOff>148772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EA8D23-CD0A-7449-B6BF-DE9C49D60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83" y="8117199"/>
          <a:ext cx="4570502" cy="18486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ewafe.skkmigas.go.id/home/document-viewer/inline/aa48cec2-8065-479c-bda6-b8ac73e26297" TargetMode="External"/><Relationship Id="rId18" Type="http://schemas.openxmlformats.org/officeDocument/2006/relationships/hyperlink" Target="https://newafe.skkmigas.go.id/home/document-viewer/inline/e39bcbf5-384c-474a-8811-01269bdf5724" TargetMode="External"/><Relationship Id="rId26" Type="http://schemas.openxmlformats.org/officeDocument/2006/relationships/hyperlink" Target="PROJECT%20SKK/FEB/%7BFEB_final%7D%20AFE%2021-21A-001-OO%20TUTUNG%20-%20Starborn%20Energy_rev.03%20Latest.xlsx" TargetMode="External"/><Relationship Id="rId39" Type="http://schemas.openxmlformats.org/officeDocument/2006/relationships/hyperlink" Target="PROJECT%20SKK/FEB/FEB%20Belida%20Ext.%20Project%20SKK%20Migas%20-%20Final%20Eval%20Dec%2020_21-21A-405%20_%20fin.xlsx" TargetMode="External"/><Relationship Id="rId21" Type="http://schemas.openxmlformats.org/officeDocument/2006/relationships/hyperlink" Target="https://newafe.skkmigas.go.id/home/document-viewer/inline/efaf5e3b-8ab7-491d-beff-0167751c184e" TargetMode="External"/><Relationship Id="rId34" Type="http://schemas.openxmlformats.org/officeDocument/2006/relationships/hyperlink" Target="PROJECT%20SKK/FEB/FEB%20AFE%20EPCIC%20Bukit%20Panjang%20-%20PC%20Ketapang.xlsx" TargetMode="External"/><Relationship Id="rId42" Type="http://schemas.openxmlformats.org/officeDocument/2006/relationships/hyperlink" Target="PROJECT%20SKK/FEB/FEB%20AFE%2018-21A-218-R1%20Meliwis%20WHP%20Revision-1_SKKMigas%20Evaluation%202Jul20%20feb%20(eval2%20GS).xlsx" TargetMode="External"/><Relationship Id="rId47" Type="http://schemas.openxmlformats.org/officeDocument/2006/relationships/comments" Target="../comments1.xml"/><Relationship Id="rId7" Type="http://schemas.openxmlformats.org/officeDocument/2006/relationships/hyperlink" Target="https://newafe.skkmigas.go.id/home/document-viewer/inline/0937c0c7-fed2-43c5-8c57-8910ea34ecb4" TargetMode="External"/><Relationship Id="rId2" Type="http://schemas.openxmlformats.org/officeDocument/2006/relationships/hyperlink" Target="https://newafe.skkmigas.go.id/home/document-viewer/inline/7d861cc8-8a3c-406b-af46-e27d9d02bcff" TargetMode="External"/><Relationship Id="rId16" Type="http://schemas.openxmlformats.org/officeDocument/2006/relationships/hyperlink" Target="https://newafe.skkmigas.go.id/home/document-viewer/inline/ae374d60-6b5b-49a0-9850-4175f6a1c14c" TargetMode="External"/><Relationship Id="rId29" Type="http://schemas.openxmlformats.org/officeDocument/2006/relationships/hyperlink" Target="PROJECT%20SKK/FEB/FEB%20AFE%20SNB%20AOI_evaluated%20-%20AOI-1%20AOI-3%20AOI-5.xlsx" TargetMode="External"/><Relationship Id="rId1" Type="http://schemas.openxmlformats.org/officeDocument/2006/relationships/hyperlink" Target="https://newafe.skkmigas.go.id/home/document-viewer/inline/3af14e24-b803-40be-8537-ab336785717f" TargetMode="External"/><Relationship Id="rId6" Type="http://schemas.openxmlformats.org/officeDocument/2006/relationships/hyperlink" Target="https://newafe.skkmigas.go.id/home/document-viewer/inline/b36e1e62-2903-429d-baab-8500ec1ef61a" TargetMode="External"/><Relationship Id="rId11" Type="http://schemas.openxmlformats.org/officeDocument/2006/relationships/hyperlink" Target="https://newafe.skkmigas.go.id/home/document-viewer/inline/3cbe015e-b448-4249-8106-0a3655bdd5b0" TargetMode="External"/><Relationship Id="rId24" Type="http://schemas.openxmlformats.org/officeDocument/2006/relationships/hyperlink" Target="https://newafe.skkmigas.go.id/home/afe-coverpage?afeRevisionId=06388ebb-29e4-4884-91c4-28fa47283086" TargetMode="External"/><Relationship Id="rId32" Type="http://schemas.openxmlformats.org/officeDocument/2006/relationships/hyperlink" Target="PROJECT%20SKK/FEB/FEB%20AFE%2022-21A-403-OO%20West%20Belut%20EPCI%20(fin).xlsx" TargetMode="External"/><Relationship Id="rId37" Type="http://schemas.openxmlformats.org/officeDocument/2006/relationships/hyperlink" Target="PROJECT%20SKK/FEB/AFE%20EPCIC%20Sidayu_SKKMigas_20180705_w%20BS23.xlsx" TargetMode="External"/><Relationship Id="rId40" Type="http://schemas.openxmlformats.org/officeDocument/2006/relationships/hyperlink" Target="PROJECT%20SKK/FEB/FEB%20EPC%20Approved%20EGR%20-%20Offshore%2029Aug2024%20i.xlsx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newafe.skkmigas.go.id/home/document-viewer/inline/3bcb0198-0ac3-43e5-a2d4-a48a5ba9c8a0" TargetMode="External"/><Relationship Id="rId15" Type="http://schemas.openxmlformats.org/officeDocument/2006/relationships/hyperlink" Target="https://newafe.skkmigas.go.id/home/document-viewer/inline/2f094663-4abc-4659-af12-4d0ec0361c78" TargetMode="External"/><Relationship Id="rId23" Type="http://schemas.openxmlformats.org/officeDocument/2006/relationships/hyperlink" Target="https://newafe.skkmigas.go.id/home/afe-coverpage?afeRevisionId=061f9ecf-58b3-4679-b854-c8ddf5c2f9cf" TargetMode="External"/><Relationship Id="rId28" Type="http://schemas.openxmlformats.org/officeDocument/2006/relationships/hyperlink" Target="PROJECT%20SKK/FEB/FEB%20AFE%20SNB%20AOI_evaluated%20-%20AOI-1%20AOI-3%20AOI-5.xlsx" TargetMode="External"/><Relationship Id="rId36" Type="http://schemas.openxmlformats.org/officeDocument/2006/relationships/hyperlink" Target="FEB%20AFE%2023-21A-402-OO_EPCI%20Terubuk_r1%2020Nov23%20-%20Medco%20Natuna.xlsx" TargetMode="External"/><Relationship Id="rId10" Type="http://schemas.openxmlformats.org/officeDocument/2006/relationships/hyperlink" Target="https://newafe.skkmigas.go.id/home/document-viewer/inline/c74a1094-ae87-455b-ac47-3b325dd397ef" TargetMode="External"/><Relationship Id="rId19" Type="http://schemas.openxmlformats.org/officeDocument/2006/relationships/hyperlink" Target="https://newafe.skkmigas.go.id/home/document-viewer/inline/55f9b2d3-8a01-46fa-88e9-a19a53723ecc" TargetMode="External"/><Relationship Id="rId31" Type="http://schemas.openxmlformats.org/officeDocument/2006/relationships/hyperlink" Target="PROJECT%20SKK/FEB/FEB%2024-21A-001-OO%20Hidayah%20Ph1%20Sep2024%20PC%20NMadura.xlsx" TargetMode="External"/><Relationship Id="rId44" Type="http://schemas.openxmlformats.org/officeDocument/2006/relationships/hyperlink" Target="PROJECT%20SKK/FEB/FEB_HCML_AFE%2018-21A-001-OO&amp;%2018-21A-002-OO_EPCI%20Well%20Head%20Platform....pdf" TargetMode="External"/><Relationship Id="rId4" Type="http://schemas.openxmlformats.org/officeDocument/2006/relationships/hyperlink" Target="https://newafe.skkmigas.go.id/home/document-viewer/inline/5e9375bf-e115-4ba1-8ece-33a1d9415861" TargetMode="External"/><Relationship Id="rId9" Type="http://schemas.openxmlformats.org/officeDocument/2006/relationships/hyperlink" Target="https://newafe.skkmigas.go.id/home/document-viewer/inline/bda45c83-8ea1-4619-9625-be8553fa33d4" TargetMode="External"/><Relationship Id="rId14" Type="http://schemas.openxmlformats.org/officeDocument/2006/relationships/hyperlink" Target="https://newafe.skkmigas.go.id/home/document-viewer/inline/0474502f-06f8-49e9-b34c-37897b3cab18" TargetMode="External"/><Relationship Id="rId22" Type="http://schemas.openxmlformats.org/officeDocument/2006/relationships/hyperlink" Target="https://newafe.skkmigas.go.id/home/afe-coverpage?afeRevisionId=b0af1edd-eea5-4430-9680-55fe297ff271" TargetMode="External"/><Relationship Id="rId27" Type="http://schemas.openxmlformats.org/officeDocument/2006/relationships/hyperlink" Target="PROJECT%20SKK/FEB/FEB%20Bukit%20Tua%20Ph2B%20AFE%2019-21A-001-R1%20-%20PC%20Ketapang.xlsx" TargetMode="External"/><Relationship Id="rId30" Type="http://schemas.openxmlformats.org/officeDocument/2006/relationships/hyperlink" Target="PROJECT%20SKK/FEB/24-21A-904-OO%20BS%20EPSCC%20Manpatu%20-%20PHM.xlsx" TargetMode="External"/><Relationship Id="rId35" Type="http://schemas.openxmlformats.org/officeDocument/2006/relationships/hyperlink" Target="PROJECT%20SKK/FEB/FEB_25-21A-001-OO_Ande%20Ande%20Lumut%20-%20Prima%20Eng%20Nw%20Natuna.xlsx" TargetMode="External"/><Relationship Id="rId43" Type="http://schemas.openxmlformats.org/officeDocument/2006/relationships/hyperlink" Target="PROJECT%20SKK/FEB/%7BFEB%20New%7D%202019%2007%2023%20FEB%20WHP%20Jumelai%20Sisi%20Nubi%20(JSN).xlsx" TargetMode="External"/><Relationship Id="rId8" Type="http://schemas.openxmlformats.org/officeDocument/2006/relationships/hyperlink" Target="https://newafe.skkmigas.go.id/home/document-viewer/inline/d94939c3-5c9a-4156-8ad1-6a9b716c628f" TargetMode="External"/><Relationship Id="rId3" Type="http://schemas.openxmlformats.org/officeDocument/2006/relationships/hyperlink" Target="https://newafe.skkmigas.go.id/home/document-viewer/inline/1c486eb9-dda0-47ab-9366-ebaa7c78cd68" TargetMode="External"/><Relationship Id="rId12" Type="http://schemas.openxmlformats.org/officeDocument/2006/relationships/hyperlink" Target="https://newafe.skkmigas.go.id/home/document-viewer/inline/aae4e674-56b0-4d06-b9be-4c94e97c5e8f" TargetMode="External"/><Relationship Id="rId17" Type="http://schemas.openxmlformats.org/officeDocument/2006/relationships/hyperlink" Target="https://newafe.skkmigas.go.id/home/document-viewer/inline/34bac766-2105-4646-af99-babc968ef727" TargetMode="External"/><Relationship Id="rId25" Type="http://schemas.openxmlformats.org/officeDocument/2006/relationships/hyperlink" Target="PROJECT%20SKK/FEB/FEB%20EPC%20Approved%20EGR%20-%20Offshore%2029Aug2024%20i.xlsx" TargetMode="External"/><Relationship Id="rId33" Type="http://schemas.openxmlformats.org/officeDocument/2006/relationships/hyperlink" Target="PROJECT%20SKK/FEB/FEB_AFE_25-21A-029-OO%20-%20RISMA%20-%20PHE%20OSES.xlsx" TargetMode="External"/><Relationship Id="rId38" Type="http://schemas.openxmlformats.org/officeDocument/2006/relationships/hyperlink" Target="PROJECT%20SKK/FEB/FEB_AFE_21-21A-002-R1_PAUS%20BIRU.xlsx" TargetMode="External"/><Relationship Id="rId46" Type="http://schemas.openxmlformats.org/officeDocument/2006/relationships/vmlDrawing" Target="../drawings/vmlDrawing1.vml"/><Relationship Id="rId20" Type="http://schemas.openxmlformats.org/officeDocument/2006/relationships/hyperlink" Target="https://newafe.skkmigas.go.id/home/document-viewer/inline/00be21a6-0751-40d8-99b3-a42cda59bc5a" TargetMode="External"/><Relationship Id="rId41" Type="http://schemas.openxmlformats.org/officeDocument/2006/relationships/hyperlink" Target="PROJECT%20SKK/FEB/FEB%20CBS%20Forel-Bronang%20EPCI%20AFE%2021-21A-402-OO_135jt_transportGTG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ewafe.skkmigas.go.id/home/document-viewer/inline/a498fddc-069f-420e-a2b2-4ce493a95582" TargetMode="External"/><Relationship Id="rId13" Type="http://schemas.openxmlformats.org/officeDocument/2006/relationships/hyperlink" Target="https://newafe.skkmigas.go.id/home/document-viewer/inline/aae4e674-56b0-4d06-b9be-4c94e97c5e8f" TargetMode="External"/><Relationship Id="rId18" Type="http://schemas.openxmlformats.org/officeDocument/2006/relationships/hyperlink" Target="https://newafe.skkmigas.go.id/home/document-viewer/inline/34bac766-2105-4646-af99-babc968ef727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https://newafe.skkmigas.go.id/home/document-viewer/inline/1c486eb9-dda0-47ab-9366-ebaa7c78cd68" TargetMode="External"/><Relationship Id="rId21" Type="http://schemas.openxmlformats.org/officeDocument/2006/relationships/hyperlink" Target="https://newafe.skkmigas.go.id/home/document-viewer/inline/00be21a6-0751-40d8-99b3-a42cda59bc5a" TargetMode="External"/><Relationship Id="rId7" Type="http://schemas.openxmlformats.org/officeDocument/2006/relationships/hyperlink" Target="https://newafe.skkmigas.go.id/home/document-viewer/inline/0937c0c7-fed2-43c5-8c57-8910ea34ecb4" TargetMode="External"/><Relationship Id="rId12" Type="http://schemas.openxmlformats.org/officeDocument/2006/relationships/hyperlink" Target="https://newafe.skkmigas.go.id/home/document-viewer/inline/3cbe015e-b448-4249-8106-0a3655bdd5b0" TargetMode="External"/><Relationship Id="rId17" Type="http://schemas.openxmlformats.org/officeDocument/2006/relationships/hyperlink" Target="https://newafe.skkmigas.go.id/home/document-viewer/inline/ae374d60-6b5b-49a0-9850-4175f6a1c14c" TargetMode="External"/><Relationship Id="rId25" Type="http://schemas.openxmlformats.org/officeDocument/2006/relationships/hyperlink" Target="https://newafe.skkmigas.go.id/home/afe-coverpage?afeRevisionId=06388ebb-29e4-4884-91c4-28fa47283086" TargetMode="External"/><Relationship Id="rId2" Type="http://schemas.openxmlformats.org/officeDocument/2006/relationships/hyperlink" Target="https://newafe.skkmigas.go.id/home/document-viewer/inline/7d861cc8-8a3c-406b-af46-e27d9d02bcff" TargetMode="External"/><Relationship Id="rId16" Type="http://schemas.openxmlformats.org/officeDocument/2006/relationships/hyperlink" Target="https://newafe.skkmigas.go.id/home/document-viewer/inline/2f094663-4abc-4659-af12-4d0ec0361c78" TargetMode="External"/><Relationship Id="rId20" Type="http://schemas.openxmlformats.org/officeDocument/2006/relationships/hyperlink" Target="https://newafe.skkmigas.go.id/home/document-viewer/inline/55f9b2d3-8a01-46fa-88e9-a19a53723ecc" TargetMode="External"/><Relationship Id="rId29" Type="http://schemas.openxmlformats.org/officeDocument/2006/relationships/comments" Target="../comments2.xml"/><Relationship Id="rId1" Type="http://schemas.openxmlformats.org/officeDocument/2006/relationships/hyperlink" Target="https://newafe.skkmigas.go.id/home/document-viewer/inline/3af14e24-b803-40be-8537-ab336785717f" TargetMode="External"/><Relationship Id="rId6" Type="http://schemas.openxmlformats.org/officeDocument/2006/relationships/hyperlink" Target="https://newafe.skkmigas.go.id/home/document-viewer/inline/b36e1e62-2903-429d-baab-8500ec1ef61a" TargetMode="External"/><Relationship Id="rId11" Type="http://schemas.openxmlformats.org/officeDocument/2006/relationships/hyperlink" Target="https://newafe.skkmigas.go.id/home/document-viewer/inline/c74a1094-ae87-455b-ac47-3b325dd397ef" TargetMode="External"/><Relationship Id="rId24" Type="http://schemas.openxmlformats.org/officeDocument/2006/relationships/hyperlink" Target="https://newafe.skkmigas.go.id/home/afe-coverpage?afeRevisionId=061f9ecf-58b3-4679-b854-c8ddf5c2f9cf" TargetMode="External"/><Relationship Id="rId5" Type="http://schemas.openxmlformats.org/officeDocument/2006/relationships/hyperlink" Target="https://newafe.skkmigas.go.id/home/document-viewer/inline/3bcb0198-0ac3-43e5-a2d4-a48a5ba9c8a0" TargetMode="External"/><Relationship Id="rId15" Type="http://schemas.openxmlformats.org/officeDocument/2006/relationships/hyperlink" Target="https://newafe.skkmigas.go.id/home/document-viewer/inline/0474502f-06f8-49e9-b34c-37897b3cab18" TargetMode="External"/><Relationship Id="rId23" Type="http://schemas.openxmlformats.org/officeDocument/2006/relationships/hyperlink" Target="https://newafe.skkmigas.go.id/home/afe-coverpage?afeRevisionId=b0af1edd-eea5-4430-9680-55fe297ff271" TargetMode="External"/><Relationship Id="rId28" Type="http://schemas.openxmlformats.org/officeDocument/2006/relationships/vmlDrawing" Target="../drawings/vmlDrawing2.vml"/><Relationship Id="rId10" Type="http://schemas.openxmlformats.org/officeDocument/2006/relationships/hyperlink" Target="https://newafe.skkmigas.go.id/home/document-viewer/inline/bda45c83-8ea1-4619-9625-be8553fa33d4" TargetMode="External"/><Relationship Id="rId19" Type="http://schemas.openxmlformats.org/officeDocument/2006/relationships/hyperlink" Target="https://newafe.skkmigas.go.id/home/document-viewer/inline/e39bcbf5-384c-474a-8811-01269bdf5724" TargetMode="External"/><Relationship Id="rId4" Type="http://schemas.openxmlformats.org/officeDocument/2006/relationships/hyperlink" Target="https://newafe.skkmigas.go.id/home/document-viewer/inline/5e9375bf-e115-4ba1-8ece-33a1d9415861" TargetMode="External"/><Relationship Id="rId9" Type="http://schemas.openxmlformats.org/officeDocument/2006/relationships/hyperlink" Target="https://newafe.skkmigas.go.id/home/document-viewer/inline/d94939c3-5c9a-4156-8ad1-6a9b716c628f" TargetMode="External"/><Relationship Id="rId14" Type="http://schemas.openxmlformats.org/officeDocument/2006/relationships/hyperlink" Target="https://newafe.skkmigas.go.id/home/document-viewer/inline/aa48cec2-8065-479c-bda6-b8ac73e26297" TargetMode="External"/><Relationship Id="rId22" Type="http://schemas.openxmlformats.org/officeDocument/2006/relationships/hyperlink" Target="https://newafe.skkmigas.go.id/home/document-viewer/inline/efaf5e3b-8ab7-491d-beff-0167751c184e" TargetMode="External"/><Relationship Id="rId27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ewafe.skkmigas.go.id/home/document-viewer/inline/a498fddc-069f-420e-a2b2-4ce493a955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CFA7-2727-46F1-BA8C-34C3979F0D07}">
  <dimension ref="A1:T60"/>
  <sheetViews>
    <sheetView zoomScale="65" zoomScaleNormal="60" workbookViewId="0">
      <pane xSplit="4" topLeftCell="E1" activePane="topRight" state="frozen"/>
      <selection pane="topRight" activeCell="F32" sqref="F32"/>
    </sheetView>
  </sheetViews>
  <sheetFormatPr defaultColWidth="8.81640625" defaultRowHeight="14.5"/>
  <cols>
    <col min="1" max="1" width="36.1796875" customWidth="1"/>
    <col min="2" max="2" width="21.81640625" customWidth="1"/>
    <col min="3" max="3" width="14.36328125" bestFit="1" customWidth="1"/>
    <col min="4" max="4" width="33.81640625" customWidth="1"/>
    <col min="5" max="5" width="8.6328125" customWidth="1"/>
    <col min="6" max="6" width="20.81640625" customWidth="1"/>
    <col min="7" max="7" width="20.6328125" customWidth="1"/>
    <col min="8" max="8" width="19" customWidth="1"/>
    <col min="9" max="9" width="24.81640625" customWidth="1"/>
    <col min="10" max="10" width="25.1796875" customWidth="1"/>
    <col min="11" max="13" width="29.36328125" customWidth="1"/>
    <col min="14" max="14" width="16" customWidth="1"/>
    <col min="15" max="15" width="32.6328125" customWidth="1"/>
    <col min="16" max="16" width="16.6328125" customWidth="1"/>
    <col min="17" max="17" width="85.81640625" customWidth="1"/>
    <col min="18" max="18" width="83.1796875" customWidth="1"/>
  </cols>
  <sheetData>
    <row r="1" spans="1:20" s="2" customFormat="1" ht="22" customHeight="1" thickBo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12</v>
      </c>
      <c r="F1" s="15" t="s">
        <v>115</v>
      </c>
      <c r="G1" s="88" t="s">
        <v>243</v>
      </c>
      <c r="H1" s="88" t="s">
        <v>244</v>
      </c>
      <c r="I1" s="17" t="s">
        <v>112</v>
      </c>
      <c r="J1" s="17" t="s">
        <v>113</v>
      </c>
      <c r="K1" s="17" t="s">
        <v>114</v>
      </c>
      <c r="L1" s="17" t="s">
        <v>235</v>
      </c>
      <c r="M1" s="17" t="s">
        <v>236</v>
      </c>
      <c r="N1" s="17" t="s">
        <v>237</v>
      </c>
      <c r="O1" s="17" t="s">
        <v>238</v>
      </c>
      <c r="P1" s="17" t="s">
        <v>239</v>
      </c>
      <c r="Q1" s="17" t="s">
        <v>240</v>
      </c>
      <c r="R1" s="22" t="s">
        <v>13</v>
      </c>
      <c r="S1" s="17" t="s">
        <v>77</v>
      </c>
      <c r="T1" s="22" t="s">
        <v>116</v>
      </c>
    </row>
    <row r="2" spans="1:20" s="6" customFormat="1" ht="17" customHeight="1" thickBot="1">
      <c r="A2" s="3" t="s">
        <v>4</v>
      </c>
      <c r="B2" s="3" t="s">
        <v>5</v>
      </c>
      <c r="C2" s="7" t="s">
        <v>6</v>
      </c>
      <c r="D2" s="9" t="s">
        <v>7</v>
      </c>
      <c r="E2" s="8">
        <v>6</v>
      </c>
      <c r="F2" s="5">
        <v>57</v>
      </c>
      <c r="G2" s="89" t="s">
        <v>181</v>
      </c>
      <c r="H2" s="89">
        <v>24</v>
      </c>
      <c r="I2" s="3">
        <v>4052</v>
      </c>
      <c r="J2" s="3">
        <v>3450</v>
      </c>
      <c r="K2" s="3">
        <v>3665</v>
      </c>
      <c r="L2" s="75">
        <v>92958779</v>
      </c>
      <c r="M2" s="75">
        <v>142736334.99000001</v>
      </c>
      <c r="N2" s="75">
        <v>0</v>
      </c>
      <c r="O2" s="75">
        <v>0</v>
      </c>
      <c r="P2" s="75">
        <v>230610362.22</v>
      </c>
      <c r="Q2" s="75">
        <f t="shared" ref="Q2:Q28" si="0">R2-(SUM(L2:P2))</f>
        <v>95172488.809999943</v>
      </c>
      <c r="R2" s="23">
        <v>561477965.01999998</v>
      </c>
      <c r="S2" s="16" t="s">
        <v>79</v>
      </c>
      <c r="T2" s="3"/>
    </row>
    <row r="3" spans="1:20" s="6" customFormat="1" ht="17" customHeight="1" thickBot="1">
      <c r="A3" s="3" t="s">
        <v>4</v>
      </c>
      <c r="B3" s="3" t="s">
        <v>5</v>
      </c>
      <c r="C3" s="7" t="s">
        <v>8</v>
      </c>
      <c r="D3" s="3" t="s">
        <v>9</v>
      </c>
      <c r="E3" s="1">
        <v>4</v>
      </c>
      <c r="F3" s="5">
        <v>40</v>
      </c>
      <c r="G3" s="89" t="s">
        <v>184</v>
      </c>
      <c r="H3" s="89">
        <v>24</v>
      </c>
      <c r="I3" s="3">
        <f>2377+1715</f>
        <v>4092</v>
      </c>
      <c r="J3" s="3">
        <f>1172+1062</f>
        <v>2234</v>
      </c>
      <c r="K3" s="3">
        <f>1148+1123</f>
        <v>2271</v>
      </c>
      <c r="L3" s="75">
        <v>145577275</v>
      </c>
      <c r="M3" s="75">
        <v>303178841</v>
      </c>
      <c r="N3" s="75">
        <v>0</v>
      </c>
      <c r="O3" s="75">
        <v>0</v>
      </c>
      <c r="P3" s="75">
        <v>824573232</v>
      </c>
      <c r="Q3" s="75">
        <f t="shared" si="0"/>
        <v>213543795.4000001</v>
      </c>
      <c r="R3" s="23">
        <v>1486873143.4000001</v>
      </c>
      <c r="S3" s="16" t="s">
        <v>80</v>
      </c>
      <c r="T3" s="16" t="s">
        <v>117</v>
      </c>
    </row>
    <row r="4" spans="1:20" s="6" customFormat="1" ht="17" customHeight="1" thickBot="1">
      <c r="A4" s="3" t="s">
        <v>4</v>
      </c>
      <c r="B4" s="3" t="s">
        <v>5</v>
      </c>
      <c r="C4" s="7" t="s">
        <v>100</v>
      </c>
      <c r="D4" s="3" t="s">
        <v>101</v>
      </c>
      <c r="E4" s="1">
        <v>4</v>
      </c>
      <c r="F4" s="93">
        <v>40</v>
      </c>
      <c r="G4" s="90" t="s">
        <v>245</v>
      </c>
      <c r="H4" s="90">
        <v>12.1</v>
      </c>
      <c r="I4" s="3">
        <v>1836</v>
      </c>
      <c r="J4" s="3">
        <v>1699</v>
      </c>
      <c r="K4" s="3">
        <v>1588</v>
      </c>
      <c r="L4" s="75">
        <v>64579216</v>
      </c>
      <c r="M4" s="75">
        <v>162924991</v>
      </c>
      <c r="N4" s="3">
        <v>0</v>
      </c>
      <c r="O4" s="75">
        <v>0</v>
      </c>
      <c r="P4" s="75">
        <v>228902395</v>
      </c>
      <c r="Q4" s="75">
        <f t="shared" si="0"/>
        <v>54647849</v>
      </c>
      <c r="R4" s="23">
        <v>511054451</v>
      </c>
      <c r="S4" s="16"/>
      <c r="T4" s="16" t="s">
        <v>117</v>
      </c>
    </row>
    <row r="5" spans="1:20" s="6" customFormat="1" ht="17" customHeight="1" thickBot="1">
      <c r="A5" s="3" t="s">
        <v>14</v>
      </c>
      <c r="B5" s="3" t="s">
        <v>15</v>
      </c>
      <c r="C5" s="3" t="s">
        <v>16</v>
      </c>
      <c r="D5" s="3" t="s">
        <v>17</v>
      </c>
      <c r="E5" s="1">
        <v>4</v>
      </c>
      <c r="F5" s="5">
        <v>4</v>
      </c>
      <c r="G5" s="89" t="s">
        <v>187</v>
      </c>
      <c r="H5" s="89">
        <v>6</v>
      </c>
      <c r="I5" s="3">
        <v>160.13</v>
      </c>
      <c r="J5" s="3">
        <v>0</v>
      </c>
      <c r="K5" s="3">
        <v>110</v>
      </c>
      <c r="L5" s="75">
        <v>0</v>
      </c>
      <c r="M5" s="75">
        <v>3374283.72</v>
      </c>
      <c r="N5" s="75">
        <v>1726684.38</v>
      </c>
      <c r="O5" s="75">
        <v>753481.04</v>
      </c>
      <c r="P5" s="75">
        <v>1853658.31</v>
      </c>
      <c r="Q5" s="75">
        <f t="shared" si="0"/>
        <v>2419709.5700000003</v>
      </c>
      <c r="R5" s="23">
        <v>10127817.02</v>
      </c>
      <c r="S5" s="16" t="s">
        <v>76</v>
      </c>
      <c r="T5" s="16" t="s">
        <v>118</v>
      </c>
    </row>
    <row r="6" spans="1:20" s="6" customFormat="1" ht="17" customHeight="1" thickBot="1">
      <c r="A6" s="3" t="s">
        <v>18</v>
      </c>
      <c r="B6" s="3" t="s">
        <v>19</v>
      </c>
      <c r="C6" s="3" t="s">
        <v>20</v>
      </c>
      <c r="D6" s="3" t="s">
        <v>21</v>
      </c>
      <c r="E6" s="1">
        <v>4</v>
      </c>
      <c r="F6" s="5">
        <v>57.2</v>
      </c>
      <c r="G6" s="89" t="s">
        <v>191</v>
      </c>
      <c r="H6" s="89">
        <v>16</v>
      </c>
      <c r="I6" s="3">
        <v>2100</v>
      </c>
      <c r="J6" s="3">
        <v>1536</v>
      </c>
      <c r="K6" s="3">
        <v>1685</v>
      </c>
      <c r="L6" s="75">
        <v>20959882.009999998</v>
      </c>
      <c r="M6" s="75">
        <v>0</v>
      </c>
      <c r="N6" s="75">
        <v>61498748</v>
      </c>
      <c r="O6" s="75">
        <v>0</v>
      </c>
      <c r="P6" s="75">
        <v>31818765</v>
      </c>
      <c r="Q6" s="75">
        <f t="shared" si="0"/>
        <v>18802308.99000001</v>
      </c>
      <c r="R6" s="23">
        <v>133079704</v>
      </c>
      <c r="S6" s="16" t="s">
        <v>81</v>
      </c>
      <c r="T6" s="16" t="s">
        <v>119</v>
      </c>
    </row>
    <row r="7" spans="1:20" s="6" customFormat="1" ht="17" customHeight="1" thickBot="1">
      <c r="A7" s="3" t="s">
        <v>22</v>
      </c>
      <c r="B7" s="3" t="s">
        <v>23</v>
      </c>
      <c r="C7" s="3" t="s">
        <v>24</v>
      </c>
      <c r="D7" s="3" t="s">
        <v>25</v>
      </c>
      <c r="E7" s="1">
        <v>3</v>
      </c>
      <c r="F7" s="5">
        <v>76</v>
      </c>
      <c r="G7" s="89" t="s">
        <v>194</v>
      </c>
      <c r="H7" s="89">
        <v>10</v>
      </c>
      <c r="I7" s="3">
        <v>97.6</v>
      </c>
      <c r="J7" s="3">
        <v>800.44500000000005</v>
      </c>
      <c r="K7" s="3">
        <v>0</v>
      </c>
      <c r="L7" s="75">
        <v>15372024.870000001</v>
      </c>
      <c r="M7" s="75">
        <v>6334214.9199999999</v>
      </c>
      <c r="N7" s="75">
        <v>0</v>
      </c>
      <c r="O7" s="75">
        <v>0</v>
      </c>
      <c r="P7" s="75">
        <v>0</v>
      </c>
      <c r="Q7" s="75">
        <f t="shared" si="0"/>
        <v>2265697.0500000007</v>
      </c>
      <c r="R7" s="23">
        <v>23971936.84</v>
      </c>
      <c r="S7" s="16" t="s">
        <v>92</v>
      </c>
      <c r="T7" s="16" t="s">
        <v>132</v>
      </c>
    </row>
    <row r="8" spans="1:20" s="6" customFormat="1" ht="17" customHeight="1" thickBot="1">
      <c r="A8" s="3" t="s">
        <v>26</v>
      </c>
      <c r="B8" s="3" t="s">
        <v>27</v>
      </c>
      <c r="C8" s="3" t="s">
        <v>28</v>
      </c>
      <c r="D8" s="3" t="s">
        <v>29</v>
      </c>
      <c r="E8" s="1">
        <v>4</v>
      </c>
      <c r="F8" s="5">
        <v>103</v>
      </c>
      <c r="G8" s="89" t="s">
        <v>181</v>
      </c>
      <c r="H8" s="89">
        <v>20</v>
      </c>
      <c r="I8" s="3">
        <v>222</v>
      </c>
      <c r="J8" s="3">
        <v>2188</v>
      </c>
      <c r="K8" s="3">
        <v>0</v>
      </c>
      <c r="L8" s="75">
        <v>18389264</v>
      </c>
      <c r="M8" s="75">
        <v>2794057</v>
      </c>
      <c r="N8" s="75">
        <v>16315319</v>
      </c>
      <c r="O8" s="75">
        <v>0</v>
      </c>
      <c r="P8" s="75">
        <v>0</v>
      </c>
      <c r="Q8" s="75">
        <f t="shared" si="0"/>
        <v>5523067</v>
      </c>
      <c r="R8" s="23">
        <v>43021707</v>
      </c>
      <c r="S8" s="16" t="s">
        <v>82</v>
      </c>
      <c r="T8" s="3"/>
    </row>
    <row r="9" spans="1:20" s="6" customFormat="1" ht="17" customHeight="1" thickBot="1">
      <c r="A9" s="3" t="s">
        <v>26</v>
      </c>
      <c r="B9" s="3" t="s">
        <v>27</v>
      </c>
      <c r="C9" s="3" t="s">
        <v>30</v>
      </c>
      <c r="D9" s="3" t="s">
        <v>31</v>
      </c>
      <c r="E9" s="1">
        <v>3</v>
      </c>
      <c r="F9" s="5">
        <v>70</v>
      </c>
      <c r="G9" s="90" t="s">
        <v>246</v>
      </c>
      <c r="H9" s="90">
        <v>10</v>
      </c>
      <c r="I9" s="3">
        <v>75</v>
      </c>
      <c r="J9" s="3">
        <v>600</v>
      </c>
      <c r="K9" s="3">
        <v>550</v>
      </c>
      <c r="L9" s="75">
        <v>6492477</v>
      </c>
      <c r="M9" s="75">
        <v>3579373</v>
      </c>
      <c r="N9" s="75">
        <v>0</v>
      </c>
      <c r="O9" s="75">
        <v>0</v>
      </c>
      <c r="P9" s="75">
        <v>0</v>
      </c>
      <c r="Q9" s="75">
        <f t="shared" si="0"/>
        <v>967209</v>
      </c>
      <c r="R9" s="23">
        <v>11039059</v>
      </c>
      <c r="S9" s="16" t="s">
        <v>83</v>
      </c>
      <c r="T9" s="16" t="s">
        <v>134</v>
      </c>
    </row>
    <row r="10" spans="1:20" s="6" customFormat="1" ht="17" customHeight="1" thickBot="1">
      <c r="A10" s="3" t="s">
        <v>32</v>
      </c>
      <c r="B10" s="3" t="s">
        <v>33</v>
      </c>
      <c r="C10" s="3" t="s">
        <v>34</v>
      </c>
      <c r="D10" s="3" t="s">
        <v>35</v>
      </c>
      <c r="E10" s="1">
        <v>3</v>
      </c>
      <c r="F10" s="5">
        <v>50.8</v>
      </c>
      <c r="G10" s="89" t="s">
        <v>241</v>
      </c>
      <c r="H10" s="89">
        <v>10</v>
      </c>
      <c r="I10" s="3">
        <v>276.93</v>
      </c>
      <c r="J10" s="3">
        <f>613.7+118.49</f>
        <v>732.19</v>
      </c>
      <c r="K10" s="3">
        <v>570.35</v>
      </c>
      <c r="L10" s="75">
        <v>12051707</v>
      </c>
      <c r="M10" s="75">
        <v>5406405</v>
      </c>
      <c r="N10" s="75">
        <v>15210733</v>
      </c>
      <c r="O10" s="75">
        <v>0</v>
      </c>
      <c r="P10" s="75">
        <v>16068171</v>
      </c>
      <c r="Q10" s="75">
        <f t="shared" si="0"/>
        <v>4729267</v>
      </c>
      <c r="R10" s="23">
        <v>53466283</v>
      </c>
      <c r="S10" s="16" t="s">
        <v>84</v>
      </c>
      <c r="T10" s="16" t="s">
        <v>133</v>
      </c>
    </row>
    <row r="11" spans="1:20" s="6" customFormat="1" ht="17" customHeight="1" thickBot="1">
      <c r="A11" s="3" t="s">
        <v>32</v>
      </c>
      <c r="B11" s="3" t="s">
        <v>33</v>
      </c>
      <c r="C11" s="3" t="s">
        <v>36</v>
      </c>
      <c r="D11" s="3" t="s">
        <v>37</v>
      </c>
      <c r="E11" s="1">
        <v>3</v>
      </c>
      <c r="F11" s="5">
        <v>62.9</v>
      </c>
      <c r="G11" s="89" t="s">
        <v>201</v>
      </c>
      <c r="H11" s="89">
        <v>10</v>
      </c>
      <c r="I11" s="3">
        <v>334.78800000000001</v>
      </c>
      <c r="J11" s="3">
        <f>716.74+94.58</f>
        <v>811.32</v>
      </c>
      <c r="K11" s="3">
        <v>598.69000000000005</v>
      </c>
      <c r="L11" s="75">
        <v>14672555</v>
      </c>
      <c r="M11" s="75">
        <v>5596858.5</v>
      </c>
      <c r="N11" s="75">
        <v>16071727.880000001</v>
      </c>
      <c r="O11" s="75">
        <v>0</v>
      </c>
      <c r="P11" s="75">
        <v>15873860.940000001</v>
      </c>
      <c r="Q11" s="75">
        <f t="shared" si="0"/>
        <v>4914200.9999999925</v>
      </c>
      <c r="R11" s="23">
        <v>57129203.32</v>
      </c>
      <c r="S11" s="16" t="s">
        <v>85</v>
      </c>
      <c r="T11" s="3"/>
    </row>
    <row r="12" spans="1:20" s="6" customFormat="1" ht="17" customHeight="1" thickBot="1">
      <c r="A12" s="3" t="s">
        <v>32</v>
      </c>
      <c r="B12" s="3" t="s">
        <v>33</v>
      </c>
      <c r="C12" s="3" t="s">
        <v>38</v>
      </c>
      <c r="D12" s="3" t="s">
        <v>39</v>
      </c>
      <c r="E12" s="1">
        <v>3</v>
      </c>
      <c r="F12" s="5">
        <v>71.7</v>
      </c>
      <c r="G12" s="89" t="s">
        <v>203</v>
      </c>
      <c r="H12" s="89">
        <v>10</v>
      </c>
      <c r="I12" s="3">
        <v>313.57</v>
      </c>
      <c r="J12" s="3">
        <f>708.66+95.83</f>
        <v>804.49</v>
      </c>
      <c r="K12" s="3">
        <v>575.16</v>
      </c>
      <c r="L12" s="75">
        <v>14955515.710000001</v>
      </c>
      <c r="M12" s="75">
        <v>3955523.31</v>
      </c>
      <c r="N12" s="75">
        <v>12943544.710000001</v>
      </c>
      <c r="O12" s="75">
        <v>0</v>
      </c>
      <c r="P12" s="75">
        <v>9512031.5600000005</v>
      </c>
      <c r="Q12" s="75">
        <f t="shared" si="0"/>
        <v>5094954.9399999976</v>
      </c>
      <c r="R12" s="23">
        <v>46461570.229999997</v>
      </c>
      <c r="S12" s="16" t="s">
        <v>86</v>
      </c>
      <c r="T12" s="3"/>
    </row>
    <row r="13" spans="1:20" s="6" customFormat="1" ht="17" customHeight="1" thickBot="1">
      <c r="A13" s="3" t="s">
        <v>32</v>
      </c>
      <c r="B13" s="3" t="s">
        <v>33</v>
      </c>
      <c r="C13" s="3" t="s">
        <v>40</v>
      </c>
      <c r="D13" s="3" t="s">
        <v>41</v>
      </c>
      <c r="E13" s="1">
        <v>3</v>
      </c>
      <c r="F13" s="5">
        <v>70</v>
      </c>
      <c r="G13" s="89" t="s">
        <v>206</v>
      </c>
      <c r="H13" s="89">
        <v>8</v>
      </c>
      <c r="I13" s="3">
        <f>366.06*2</f>
        <v>732.12</v>
      </c>
      <c r="J13" s="3">
        <f>598.35+594.02</f>
        <v>1192.3699999999999</v>
      </c>
      <c r="K13" s="3">
        <f>(689.34+58.58)*2</f>
        <v>1495.8400000000001</v>
      </c>
      <c r="L13" s="75">
        <v>28819121</v>
      </c>
      <c r="M13" s="75">
        <v>5407521</v>
      </c>
      <c r="N13" s="75">
        <v>13426441</v>
      </c>
      <c r="O13" s="75">
        <v>0</v>
      </c>
      <c r="P13" s="75">
        <v>18456623</v>
      </c>
      <c r="Q13" s="75">
        <f t="shared" si="0"/>
        <v>5713966</v>
      </c>
      <c r="R13" s="23">
        <v>71823672</v>
      </c>
      <c r="S13" s="16" t="s">
        <v>87</v>
      </c>
      <c r="T13" s="16" t="s">
        <v>120</v>
      </c>
    </row>
    <row r="14" spans="1:20" s="6" customFormat="1" ht="17" customHeight="1" thickBot="1">
      <c r="A14" s="3" t="s">
        <v>32</v>
      </c>
      <c r="B14" s="3" t="s">
        <v>33</v>
      </c>
      <c r="C14" s="3" t="s">
        <v>42</v>
      </c>
      <c r="D14" s="3" t="s">
        <v>43</v>
      </c>
      <c r="E14" s="1">
        <v>3</v>
      </c>
      <c r="F14" s="5">
        <v>70</v>
      </c>
      <c r="G14" s="89" t="s">
        <v>209</v>
      </c>
      <c r="H14" s="89">
        <v>8</v>
      </c>
      <c r="I14" s="3">
        <f>366.06*2</f>
        <v>732.12</v>
      </c>
      <c r="J14" s="3">
        <f>579.26+590.49</f>
        <v>1169.75</v>
      </c>
      <c r="K14" s="3">
        <f>(689.34+58.58)*2</f>
        <v>1495.8400000000001</v>
      </c>
      <c r="L14" s="75">
        <v>28749851</v>
      </c>
      <c r="M14" s="75">
        <v>5331438</v>
      </c>
      <c r="N14" s="75">
        <v>13351845</v>
      </c>
      <c r="O14" s="75">
        <v>0</v>
      </c>
      <c r="P14" s="75">
        <v>19282247</v>
      </c>
      <c r="Q14" s="75">
        <f t="shared" si="0"/>
        <v>5735864</v>
      </c>
      <c r="R14" s="23">
        <v>72451245</v>
      </c>
      <c r="S14" s="16" t="s">
        <v>88</v>
      </c>
      <c r="T14" s="16" t="s">
        <v>120</v>
      </c>
    </row>
    <row r="15" spans="1:20" s="6" customFormat="1" ht="17" customHeight="1" thickBot="1">
      <c r="A15" s="3" t="s">
        <v>32</v>
      </c>
      <c r="B15" s="3" t="s">
        <v>33</v>
      </c>
      <c r="C15" s="3" t="s">
        <v>44</v>
      </c>
      <c r="D15" s="3" t="s">
        <v>45</v>
      </c>
      <c r="E15" s="1">
        <v>3</v>
      </c>
      <c r="F15" s="5">
        <v>70</v>
      </c>
      <c r="G15" s="89" t="s">
        <v>211</v>
      </c>
      <c r="H15" s="89">
        <v>8</v>
      </c>
      <c r="I15" s="3">
        <f>366.06+377.28</f>
        <v>743.33999999999992</v>
      </c>
      <c r="J15" s="3">
        <f>587.63+650.24</f>
        <v>1237.8699999999999</v>
      </c>
      <c r="K15" s="3">
        <f>493.14+51.28+471.71+60.82</f>
        <v>1076.9499999999998</v>
      </c>
      <c r="L15" s="75">
        <v>27408926</v>
      </c>
      <c r="M15" s="75">
        <v>5582322</v>
      </c>
      <c r="N15" s="75">
        <v>13377736</v>
      </c>
      <c r="O15" s="75">
        <v>0</v>
      </c>
      <c r="P15" s="75">
        <v>19407341</v>
      </c>
      <c r="Q15" s="75">
        <f t="shared" si="0"/>
        <v>5411987</v>
      </c>
      <c r="R15" s="23">
        <v>71188312</v>
      </c>
      <c r="S15" s="16" t="s">
        <v>89</v>
      </c>
      <c r="T15" s="16" t="s">
        <v>120</v>
      </c>
    </row>
    <row r="16" spans="1:20" s="6" customFormat="1" ht="17" customHeight="1" thickBot="1">
      <c r="A16" s="3" t="s">
        <v>32</v>
      </c>
      <c r="B16" s="3" t="s">
        <v>33</v>
      </c>
      <c r="C16" s="3" t="s">
        <v>46</v>
      </c>
      <c r="D16" s="3" t="s">
        <v>47</v>
      </c>
      <c r="E16" s="1">
        <v>3</v>
      </c>
      <c r="F16" s="5">
        <v>51.7</v>
      </c>
      <c r="G16" s="89" t="s">
        <v>213</v>
      </c>
      <c r="H16" s="89">
        <v>14</v>
      </c>
      <c r="I16" s="3">
        <v>1082.9100000000001</v>
      </c>
      <c r="J16" s="3">
        <v>2300.6</v>
      </c>
      <c r="K16" s="3">
        <v>0</v>
      </c>
      <c r="L16" s="75">
        <v>26564570.91</v>
      </c>
      <c r="M16" s="75">
        <v>12035424.050000001</v>
      </c>
      <c r="N16" s="75">
        <v>26926281.510000002</v>
      </c>
      <c r="O16" s="75">
        <v>0</v>
      </c>
      <c r="P16" s="75">
        <v>20629655</v>
      </c>
      <c r="Q16" s="75">
        <f t="shared" si="0"/>
        <v>12970299.469999999</v>
      </c>
      <c r="R16" s="23">
        <v>99126230.939999998</v>
      </c>
      <c r="S16" s="16" t="s">
        <v>90</v>
      </c>
      <c r="T16" s="16" t="s">
        <v>121</v>
      </c>
    </row>
    <row r="17" spans="1:20" s="6" customFormat="1" ht="17" customHeight="1" thickBot="1">
      <c r="A17" s="3" t="s">
        <v>48</v>
      </c>
      <c r="B17" s="3" t="s">
        <v>49</v>
      </c>
      <c r="C17" s="19" t="s">
        <v>50</v>
      </c>
      <c r="D17" s="19" t="s">
        <v>51</v>
      </c>
      <c r="E17" s="1">
        <v>6</v>
      </c>
      <c r="F17" s="5">
        <v>25</v>
      </c>
      <c r="G17" s="89" t="s">
        <v>215</v>
      </c>
      <c r="H17" s="89">
        <v>6</v>
      </c>
      <c r="I17" s="3">
        <v>4512</v>
      </c>
      <c r="J17" s="3">
        <v>4225.2</v>
      </c>
      <c r="K17" s="3">
        <v>0</v>
      </c>
      <c r="L17" s="75">
        <v>64885998.879999995</v>
      </c>
      <c r="M17" s="75">
        <v>0</v>
      </c>
      <c r="N17" s="75">
        <v>182407402.19999999</v>
      </c>
      <c r="O17" s="75">
        <v>0</v>
      </c>
      <c r="P17" s="75">
        <v>10656112.940000001</v>
      </c>
      <c r="Q17" s="75">
        <f t="shared" si="0"/>
        <v>45787532.400000036</v>
      </c>
      <c r="R17" s="23">
        <v>303737046.42000002</v>
      </c>
      <c r="S17" s="16" t="s">
        <v>91</v>
      </c>
      <c r="T17" s="16" t="s">
        <v>122</v>
      </c>
    </row>
    <row r="18" spans="1:20" s="6" customFormat="1" ht="17" customHeight="1" thickBot="1">
      <c r="A18" s="11" t="s">
        <v>52</v>
      </c>
      <c r="B18" s="11" t="s">
        <v>53</v>
      </c>
      <c r="C18" s="11" t="s">
        <v>54</v>
      </c>
      <c r="D18" s="11" t="s">
        <v>55</v>
      </c>
      <c r="E18" s="10">
        <v>3</v>
      </c>
      <c r="F18" s="94">
        <v>44</v>
      </c>
      <c r="G18" s="89" t="s">
        <v>217</v>
      </c>
      <c r="H18" s="89">
        <v>12</v>
      </c>
      <c r="I18" s="11">
        <f>308+226</f>
        <v>534</v>
      </c>
      <c r="J18" s="11">
        <f>478+489</f>
        <v>967</v>
      </c>
      <c r="K18" s="11">
        <v>0</v>
      </c>
      <c r="L18" s="76">
        <v>4804215.53</v>
      </c>
      <c r="M18" s="76">
        <v>22276045.93</v>
      </c>
      <c r="N18" s="76">
        <v>0</v>
      </c>
      <c r="O18" s="76">
        <v>0</v>
      </c>
      <c r="P18" s="76">
        <v>6558041.1399999997</v>
      </c>
      <c r="Q18" s="75">
        <f t="shared" si="0"/>
        <v>13231807.629999995</v>
      </c>
      <c r="R18" s="23">
        <v>46870110.229999997</v>
      </c>
      <c r="S18" s="16" t="s">
        <v>56</v>
      </c>
      <c r="T18" s="16" t="s">
        <v>128</v>
      </c>
    </row>
    <row r="19" spans="1:20" s="6" customFormat="1" ht="17" customHeight="1" thickBot="1">
      <c r="A19" s="3" t="s">
        <v>58</v>
      </c>
      <c r="B19" s="3" t="s">
        <v>59</v>
      </c>
      <c r="C19" s="3" t="s">
        <v>60</v>
      </c>
      <c r="D19" s="3" t="s">
        <v>61</v>
      </c>
      <c r="E19" s="1">
        <v>3</v>
      </c>
      <c r="F19" s="1">
        <v>28.1</v>
      </c>
      <c r="G19" s="89" t="s">
        <v>220</v>
      </c>
      <c r="H19" s="89" t="s">
        <v>242</v>
      </c>
      <c r="I19" s="3">
        <v>134.69999999999999</v>
      </c>
      <c r="J19" s="3">
        <v>323</v>
      </c>
      <c r="K19" s="3">
        <v>337.5</v>
      </c>
      <c r="L19" s="75">
        <v>10226329</v>
      </c>
      <c r="M19" s="75">
        <v>9490314</v>
      </c>
      <c r="N19" s="75">
        <v>3696185</v>
      </c>
      <c r="O19" s="75">
        <v>0</v>
      </c>
      <c r="P19" s="75">
        <v>25641953</v>
      </c>
      <c r="Q19" s="75">
        <f t="shared" si="0"/>
        <v>6782677</v>
      </c>
      <c r="R19" s="23">
        <v>55837458</v>
      </c>
      <c r="S19" s="16" t="s">
        <v>57</v>
      </c>
      <c r="T19" s="16" t="s">
        <v>129</v>
      </c>
    </row>
    <row r="20" spans="1:20" s="6" customFormat="1" ht="17" customHeight="1" thickBot="1">
      <c r="A20" s="3" t="s">
        <v>62</v>
      </c>
      <c r="B20" s="3" t="s">
        <v>63</v>
      </c>
      <c r="C20" s="3" t="s">
        <v>64</v>
      </c>
      <c r="D20" s="3" t="s">
        <v>65</v>
      </c>
      <c r="E20" s="1">
        <v>3</v>
      </c>
      <c r="F20" s="1">
        <v>91</v>
      </c>
      <c r="G20" s="89" t="s">
        <v>223</v>
      </c>
      <c r="H20" s="89">
        <v>8</v>
      </c>
      <c r="I20" s="3">
        <f>414+204</f>
        <v>618</v>
      </c>
      <c r="J20" s="3">
        <f>1021+1001</f>
        <v>2022</v>
      </c>
      <c r="K20" s="3">
        <f>617+600</f>
        <v>1217</v>
      </c>
      <c r="L20" s="75">
        <v>38215525.009999998</v>
      </c>
      <c r="M20" s="75">
        <v>37952876.229999997</v>
      </c>
      <c r="N20" s="75">
        <v>0</v>
      </c>
      <c r="O20" s="75">
        <v>29694886.300000001</v>
      </c>
      <c r="P20" s="75">
        <v>15008912.32</v>
      </c>
      <c r="Q20" s="75">
        <f t="shared" si="0"/>
        <v>14275524.680000007</v>
      </c>
      <c r="R20" s="23">
        <v>135147724.53999999</v>
      </c>
      <c r="S20" s="16" t="s">
        <v>66</v>
      </c>
      <c r="T20" s="16" t="s">
        <v>131</v>
      </c>
    </row>
    <row r="21" spans="1:20" s="6" customFormat="1" ht="17" customHeight="1" thickBot="1">
      <c r="A21" s="3" t="s">
        <v>62</v>
      </c>
      <c r="B21" s="3" t="s">
        <v>63</v>
      </c>
      <c r="C21" s="3" t="s">
        <v>67</v>
      </c>
      <c r="D21" s="3" t="s">
        <v>68</v>
      </c>
      <c r="E21" s="1">
        <v>1</v>
      </c>
      <c r="F21" s="1">
        <v>80</v>
      </c>
      <c r="G21" s="89" t="s">
        <v>225</v>
      </c>
      <c r="H21" s="89">
        <v>12</v>
      </c>
      <c r="I21" s="92">
        <v>650.45600000000002</v>
      </c>
      <c r="J21" s="92">
        <v>1451.4939999999999</v>
      </c>
      <c r="K21" s="92">
        <v>1056</v>
      </c>
      <c r="L21" s="75">
        <v>27376668.039999999</v>
      </c>
      <c r="M21" s="75">
        <v>9656780.7799999993</v>
      </c>
      <c r="N21" s="75">
        <v>3671125.46</v>
      </c>
      <c r="O21" s="75">
        <v>0</v>
      </c>
      <c r="P21" s="75">
        <v>18641195.150000002</v>
      </c>
      <c r="Q21" s="75">
        <f t="shared" si="0"/>
        <v>18159344.539999992</v>
      </c>
      <c r="R21" s="23">
        <v>77505113.969999999</v>
      </c>
      <c r="S21" s="18" t="s">
        <v>69</v>
      </c>
      <c r="T21" s="16" t="s">
        <v>130</v>
      </c>
    </row>
    <row r="22" spans="1:20" s="6" customFormat="1" ht="17" customHeight="1" thickBot="1">
      <c r="A22" s="3" t="s">
        <v>62</v>
      </c>
      <c r="B22" s="3" t="s">
        <v>63</v>
      </c>
      <c r="C22" s="3" t="s">
        <v>70</v>
      </c>
      <c r="D22" s="3" t="s">
        <v>71</v>
      </c>
      <c r="E22" s="1">
        <v>3</v>
      </c>
      <c r="F22" s="1">
        <v>95.5</v>
      </c>
      <c r="G22" s="89" t="s">
        <v>228</v>
      </c>
      <c r="H22" s="89">
        <v>12</v>
      </c>
      <c r="I22" s="3">
        <v>425</v>
      </c>
      <c r="J22" s="3">
        <v>890</v>
      </c>
      <c r="K22" s="3">
        <v>0</v>
      </c>
      <c r="L22" s="75">
        <v>23402868.77</v>
      </c>
      <c r="M22" s="75">
        <v>25951058.59</v>
      </c>
      <c r="N22" s="75">
        <v>0</v>
      </c>
      <c r="O22" s="75">
        <v>0</v>
      </c>
      <c r="P22" s="75">
        <v>24787400.779999997</v>
      </c>
      <c r="Q22" s="75">
        <f t="shared" si="0"/>
        <v>9903966.5100000054</v>
      </c>
      <c r="R22" s="23">
        <v>84045294.650000006</v>
      </c>
      <c r="S22" s="16" t="s">
        <v>72</v>
      </c>
      <c r="T22" s="16" t="s">
        <v>123</v>
      </c>
    </row>
    <row r="23" spans="1:20" s="6" customFormat="1" ht="17" customHeight="1" thickBot="1">
      <c r="A23" s="3" t="s">
        <v>62</v>
      </c>
      <c r="B23" s="3" t="s">
        <v>63</v>
      </c>
      <c r="C23" s="3" t="s">
        <v>73</v>
      </c>
      <c r="D23" s="3" t="s">
        <v>74</v>
      </c>
      <c r="E23" s="1">
        <v>3</v>
      </c>
      <c r="F23" s="1">
        <v>80</v>
      </c>
      <c r="G23" s="89" t="s">
        <v>230</v>
      </c>
      <c r="H23" s="89">
        <v>14</v>
      </c>
      <c r="I23" s="3">
        <f>603*2</f>
        <v>1206</v>
      </c>
      <c r="J23" s="3">
        <f>972*2</f>
        <v>1944</v>
      </c>
      <c r="K23" s="3">
        <f>689+639</f>
        <v>1328</v>
      </c>
      <c r="L23" s="75">
        <v>39726000.510000005</v>
      </c>
      <c r="M23" s="75">
        <v>46611397.329999998</v>
      </c>
      <c r="N23" s="75">
        <v>9143656</v>
      </c>
      <c r="O23" s="75">
        <v>0</v>
      </c>
      <c r="P23" s="75">
        <v>70165662.669999987</v>
      </c>
      <c r="Q23" s="75">
        <f t="shared" si="0"/>
        <v>16585776.560000002</v>
      </c>
      <c r="R23" s="23">
        <v>182232493.06999999</v>
      </c>
      <c r="S23" s="16" t="s">
        <v>75</v>
      </c>
      <c r="T23" s="16" t="s">
        <v>127</v>
      </c>
    </row>
    <row r="24" spans="1:20" s="6" customFormat="1" ht="17" customHeight="1" thickBot="1">
      <c r="A24" s="3" t="s">
        <v>93</v>
      </c>
      <c r="B24" s="3" t="s">
        <v>94</v>
      </c>
      <c r="C24" s="3" t="s">
        <v>95</v>
      </c>
      <c r="D24" s="3" t="s">
        <v>96</v>
      </c>
      <c r="E24" s="1">
        <v>3</v>
      </c>
      <c r="F24" s="92"/>
      <c r="G24" s="91"/>
      <c r="H24" s="91"/>
      <c r="I24" s="3">
        <v>450</v>
      </c>
      <c r="J24" s="3">
        <v>860</v>
      </c>
      <c r="K24" s="92"/>
      <c r="L24" s="75">
        <v>19160946</v>
      </c>
      <c r="M24" s="3">
        <v>24559966</v>
      </c>
      <c r="N24" s="3">
        <v>10747986</v>
      </c>
      <c r="O24" s="3">
        <v>0</v>
      </c>
      <c r="P24" s="3">
        <v>0</v>
      </c>
      <c r="Q24" s="75">
        <f t="shared" si="0"/>
        <v>9847312</v>
      </c>
      <c r="R24" s="24">
        <v>64316210</v>
      </c>
      <c r="S24" s="16" t="s">
        <v>97</v>
      </c>
      <c r="T24" s="3"/>
    </row>
    <row r="25" spans="1:20" s="6" customFormat="1" ht="17" customHeight="1" thickBot="1">
      <c r="A25" s="3" t="s">
        <v>93</v>
      </c>
      <c r="B25" s="3" t="s">
        <v>94</v>
      </c>
      <c r="C25" s="3" t="s">
        <v>98</v>
      </c>
      <c r="D25" s="3" t="s">
        <v>96</v>
      </c>
      <c r="E25" s="1">
        <v>3</v>
      </c>
      <c r="F25" s="92"/>
      <c r="G25" s="91"/>
      <c r="H25" s="91"/>
      <c r="I25" s="3">
        <v>450</v>
      </c>
      <c r="J25" s="3">
        <v>860</v>
      </c>
      <c r="K25" s="92"/>
      <c r="L25" s="75">
        <v>19151399</v>
      </c>
      <c r="M25" s="3">
        <v>24775917</v>
      </c>
      <c r="N25" s="3">
        <v>10827986</v>
      </c>
      <c r="O25" s="3">
        <v>0</v>
      </c>
      <c r="P25" s="3">
        <v>0</v>
      </c>
      <c r="Q25" s="75">
        <f t="shared" si="0"/>
        <v>9866901</v>
      </c>
      <c r="R25" s="23">
        <v>64622203</v>
      </c>
      <c r="S25" s="16" t="s">
        <v>99</v>
      </c>
      <c r="T25" s="3"/>
    </row>
    <row r="26" spans="1:20" s="6" customFormat="1" ht="29.5" customHeight="1" thickBot="1">
      <c r="A26" s="3" t="s">
        <v>105</v>
      </c>
      <c r="B26" s="3" t="s">
        <v>106</v>
      </c>
      <c r="C26" s="3" t="s">
        <v>103</v>
      </c>
      <c r="D26" s="12" t="s">
        <v>102</v>
      </c>
      <c r="E26" s="1">
        <v>4</v>
      </c>
      <c r="F26" s="1">
        <v>22.92</v>
      </c>
      <c r="G26" s="89">
        <v>9</v>
      </c>
      <c r="H26" s="89">
        <v>10</v>
      </c>
      <c r="I26" s="3">
        <v>640.79</v>
      </c>
      <c r="J26" s="3">
        <v>585.49</v>
      </c>
      <c r="K26" s="3">
        <v>459.81</v>
      </c>
      <c r="L26" s="77">
        <v>11743151.636941422</v>
      </c>
      <c r="M26" s="78">
        <v>10288748.210410742</v>
      </c>
      <c r="N26" s="78">
        <v>23494102.164744828</v>
      </c>
      <c r="O26" s="3">
        <v>0</v>
      </c>
      <c r="P26" s="77">
        <v>22871416.555628229</v>
      </c>
      <c r="Q26" s="75">
        <f t="shared" si="0"/>
        <v>18224171.026225388</v>
      </c>
      <c r="R26" s="25">
        <v>86621589.593950599</v>
      </c>
      <c r="S26" s="16" t="s">
        <v>104</v>
      </c>
      <c r="T26" s="16" t="s">
        <v>125</v>
      </c>
    </row>
    <row r="27" spans="1:20" s="6" customFormat="1" ht="32" customHeight="1" thickBot="1">
      <c r="A27" s="3" t="s">
        <v>18</v>
      </c>
      <c r="B27" s="3"/>
      <c r="C27" s="3" t="s">
        <v>108</v>
      </c>
      <c r="D27" s="12" t="s">
        <v>111</v>
      </c>
      <c r="E27" s="1">
        <v>4</v>
      </c>
      <c r="F27" s="1">
        <v>41</v>
      </c>
      <c r="G27" s="89">
        <v>28</v>
      </c>
      <c r="H27" s="89">
        <v>18</v>
      </c>
      <c r="I27" s="3">
        <v>900.61</v>
      </c>
      <c r="J27" s="3">
        <f>684.55+72</f>
        <v>756.55</v>
      </c>
      <c r="K27" s="3">
        <v>79</v>
      </c>
      <c r="L27" s="78">
        <v>17953670</v>
      </c>
      <c r="M27" s="78">
        <v>10711598</v>
      </c>
      <c r="N27" s="78">
        <v>0</v>
      </c>
      <c r="O27" s="3">
        <v>0</v>
      </c>
      <c r="P27" s="78">
        <v>46825151</v>
      </c>
      <c r="Q27" s="75">
        <f t="shared" si="0"/>
        <v>68565306</v>
      </c>
      <c r="R27" s="25">
        <v>144055725</v>
      </c>
      <c r="S27" s="16" t="s">
        <v>107</v>
      </c>
      <c r="T27" s="16" t="s">
        <v>124</v>
      </c>
    </row>
    <row r="28" spans="1:20" s="6" customFormat="1" ht="17" customHeight="1" thickBot="1">
      <c r="A28" s="3" t="s">
        <v>135</v>
      </c>
      <c r="B28" s="3"/>
      <c r="C28" s="3" t="s">
        <v>108</v>
      </c>
      <c r="D28" s="3" t="s">
        <v>109</v>
      </c>
      <c r="E28" s="1">
        <v>6</v>
      </c>
      <c r="F28" s="1">
        <v>71.900000000000006</v>
      </c>
      <c r="G28" s="89"/>
      <c r="H28" s="89"/>
      <c r="I28" s="3">
        <v>5957</v>
      </c>
      <c r="J28" s="3">
        <v>5383</v>
      </c>
      <c r="K28" s="3"/>
      <c r="L28" s="78">
        <v>132480409.7</v>
      </c>
      <c r="M28" s="78">
        <v>0</v>
      </c>
      <c r="N28" s="78">
        <v>236131791.33684888</v>
      </c>
      <c r="O28" s="3">
        <v>0</v>
      </c>
      <c r="P28" s="78">
        <v>0</v>
      </c>
      <c r="Q28" s="75">
        <f t="shared" si="0"/>
        <v>-96493606.114268064</v>
      </c>
      <c r="R28" s="25">
        <v>272118594.92258084</v>
      </c>
      <c r="S28" s="16" t="s">
        <v>110</v>
      </c>
      <c r="T28" s="16" t="s">
        <v>126</v>
      </c>
    </row>
    <row r="29" spans="1:20" s="6" customFormat="1">
      <c r="E29" s="13"/>
      <c r="F29" s="13"/>
      <c r="P29" s="20"/>
    </row>
    <row r="30" spans="1:20">
      <c r="P30" s="21"/>
    </row>
    <row r="31" spans="1:20">
      <c r="P31" s="21"/>
    </row>
    <row r="32" spans="1:20">
      <c r="M32" s="79"/>
    </row>
    <row r="33" spans="13:13">
      <c r="M33" s="79"/>
    </row>
    <row r="34" spans="13:13">
      <c r="M34" s="79"/>
    </row>
    <row r="35" spans="13:13">
      <c r="M35" s="79"/>
    </row>
    <row r="36" spans="13:13">
      <c r="M36" s="79"/>
    </row>
    <row r="37" spans="13:13">
      <c r="M37" s="79"/>
    </row>
    <row r="38" spans="13:13">
      <c r="M38" s="79"/>
    </row>
    <row r="39" spans="13:13">
      <c r="M39" s="79"/>
    </row>
    <row r="40" spans="13:13">
      <c r="M40" s="79"/>
    </row>
    <row r="41" spans="13:13">
      <c r="M41" s="79"/>
    </row>
    <row r="42" spans="13:13">
      <c r="M42" s="79"/>
    </row>
    <row r="43" spans="13:13">
      <c r="M43" s="79"/>
    </row>
    <row r="44" spans="13:13">
      <c r="M44" s="79"/>
    </row>
    <row r="45" spans="13:13">
      <c r="M45" s="79"/>
    </row>
    <row r="46" spans="13:13">
      <c r="M46" s="79"/>
    </row>
    <row r="47" spans="13:13">
      <c r="M47" s="79"/>
    </row>
    <row r="48" spans="13:13">
      <c r="M48" s="79"/>
    </row>
    <row r="49" spans="13:13">
      <c r="M49" s="79"/>
    </row>
    <row r="50" spans="13:13">
      <c r="M50" s="79"/>
    </row>
    <row r="51" spans="13:13">
      <c r="M51" s="79"/>
    </row>
    <row r="52" spans="13:13">
      <c r="M52" s="79"/>
    </row>
    <row r="53" spans="13:13">
      <c r="M53" s="79"/>
    </row>
    <row r="54" spans="13:13">
      <c r="M54" s="79"/>
    </row>
    <row r="55" spans="13:13">
      <c r="M55" s="20"/>
    </row>
    <row r="56" spans="13:13">
      <c r="M56" s="79"/>
    </row>
    <row r="57" spans="13:13">
      <c r="M57" s="80"/>
    </row>
    <row r="58" spans="13:13">
      <c r="M58" s="80"/>
    </row>
    <row r="59" spans="13:13">
      <c r="M59" s="80"/>
    </row>
    <row r="60" spans="13:13">
      <c r="M60" s="20"/>
    </row>
  </sheetData>
  <autoFilter ref="A1:Q1" xr:uid="{FE5FCFA7-2727-46F1-BA8C-34C3979F0D07}"/>
  <hyperlinks>
    <hyperlink ref="S18" r:id="rId1" display="https://newafe.skkmigas.go.id/home/document-viewer/inline/3af14e24-b803-40be-8537-ab336785717f" xr:uid="{1ED300B4-B670-4544-9A33-605DAFBDF051}"/>
    <hyperlink ref="S19" r:id="rId2" display="https://newafe.skkmigas.go.id/home/document-viewer/inline/7d861cc8-8a3c-406b-af46-e27d9d02bcff" xr:uid="{4ADE5CB8-6096-49F7-AA67-A4C797D7F835}"/>
    <hyperlink ref="S20" r:id="rId3" display="https://newafe.skkmigas.go.id/home/document-viewer/inline/1c486eb9-dda0-47ab-9366-ebaa7c78cd68" xr:uid="{74056B0F-3327-4F52-BC49-DD0D598FC344}"/>
    <hyperlink ref="S21" r:id="rId4" display="https://newafe.skkmigas.go.id/home/document-viewer/inline/5e9375bf-e115-4ba1-8ece-33a1d9415861" xr:uid="{E4158F86-A35E-425F-B0F0-C4C469F5185D}"/>
    <hyperlink ref="S22" r:id="rId5" display="https://newafe.skkmigas.go.id/home/document-viewer/inline/3bcb0198-0ac3-43e5-a2d4-a48a5ba9c8a0" xr:uid="{D5BF8FE9-2DAE-4C92-898D-325A2B3605D1}"/>
    <hyperlink ref="S23" r:id="rId6" display="https://newafe.skkmigas.go.id/home/document-viewer/inline/b36e1e62-2903-429d-baab-8500ec1ef61a" xr:uid="{306010EA-24A2-497E-BB07-E8A975A3F97A}"/>
    <hyperlink ref="S5" r:id="rId7" display="https://newafe.skkmigas.go.id/home/document-viewer/inline/0937c0c7-fed2-43c5-8c57-8910ea34ecb4" xr:uid="{811E98D9-1034-4972-88CD-21F1BBB68AF7}"/>
    <hyperlink ref="S2" r:id="rId8" xr:uid="{72F07C01-9E86-4A7F-A1E6-3677D89C51AB}"/>
    <hyperlink ref="S3" r:id="rId9" xr:uid="{017A0288-7420-4A28-BDF2-840DA5E6AAF4}"/>
    <hyperlink ref="S6" r:id="rId10" xr:uid="{1AA8A00A-7ADE-4FBF-953C-A32C51B06916}"/>
    <hyperlink ref="S7" r:id="rId11" xr:uid="{6CE765B6-9B5D-451F-BDB1-69CCA70BA48F}"/>
    <hyperlink ref="S8" r:id="rId12" xr:uid="{AC25FEB8-CF50-4730-98BA-7D8BCCF85E67}"/>
    <hyperlink ref="S9" r:id="rId13" xr:uid="{40CFDD3A-A757-425E-9EB2-77B073962238}"/>
    <hyperlink ref="S10" r:id="rId14" xr:uid="{4021A5FD-B5C5-4709-A044-7107E18DB028}"/>
    <hyperlink ref="S11" r:id="rId15" xr:uid="{931FD2CF-C257-43C5-9C0E-73CBFE918EBA}"/>
    <hyperlink ref="S12" r:id="rId16" xr:uid="{F620D225-5D92-475E-A08B-77F53318A99D}"/>
    <hyperlink ref="S13" r:id="rId17" xr:uid="{62C6F16D-8B6F-4DA0-8549-8C6771E55A96}"/>
    <hyperlink ref="S14" r:id="rId18" xr:uid="{786F36C9-EFD1-49E7-AF65-75563D8946DA}"/>
    <hyperlink ref="S15" r:id="rId19" xr:uid="{D4A42675-AD24-4786-BFD2-2C8ADF459E65}"/>
    <hyperlink ref="S16" r:id="rId20" xr:uid="{72326FF0-B3D6-4FB6-A229-4293748C5B18}"/>
    <hyperlink ref="S17" r:id="rId21" xr:uid="{C6165758-3271-4A81-820C-084D27AEA2D3}"/>
    <hyperlink ref="S26" r:id="rId22" xr:uid="{3ED9BA53-06D5-4A34-A025-EA711D5DBE72}"/>
    <hyperlink ref="S27" r:id="rId23" xr:uid="{2E9E9B77-BC7F-4B71-94CA-7CAB3581D1F8}"/>
    <hyperlink ref="S28" r:id="rId24" xr:uid="{FBFD26C3-8445-40A6-B9EB-7118B29F77AD}"/>
    <hyperlink ref="T4" r:id="rId25" xr:uid="{333A0589-4919-0E4E-940D-4E3B5265A805}"/>
    <hyperlink ref="T5" r:id="rId26" xr:uid="{CBC9065F-6E0C-C340-AC93-D0EBDBF08D4D}"/>
    <hyperlink ref="T6" r:id="rId27" xr:uid="{0EC35247-8935-0C4D-8B71-3F6CCF2AA890}"/>
    <hyperlink ref="T13" r:id="rId28" xr:uid="{478098A7-C7D4-9445-92F9-0FC559B85E07}"/>
    <hyperlink ref="T14:T15" r:id="rId29" display="PROJECT SKK/FEB/FEB AFE SNB AOI_evaluated - AOI-1 AOI-3 AOI-5.xlsx" xr:uid="{BD784240-147E-D14A-A606-43D4FF59854D}"/>
    <hyperlink ref="T16" r:id="rId30" xr:uid="{7520AA26-878D-6449-8B11-DF38486F4619}"/>
    <hyperlink ref="T17" r:id="rId31" xr:uid="{A7F41623-E7AF-6949-BFDE-9DA4DE855DC4}"/>
    <hyperlink ref="T22" r:id="rId32" xr:uid="{DF0B75D4-F34D-8849-BFCE-1DF391823514}"/>
    <hyperlink ref="T26" r:id="rId33" xr:uid="{9D48B221-606D-3D4B-9E7F-F6CA66179B36}"/>
    <hyperlink ref="T27" r:id="rId34" xr:uid="{2AAA4F3E-AE1A-9E48-992B-FBFA7B649305}"/>
    <hyperlink ref="T28" r:id="rId35" xr:uid="{8361FFFE-EBB5-3D4D-A220-A4093CC5D915}"/>
    <hyperlink ref="T23" r:id="rId36" xr:uid="{40A94C0A-6ADF-524A-AEC1-EC05FBB9C796}"/>
    <hyperlink ref="T18" r:id="rId37" xr:uid="{3061BF55-C47C-8D40-9255-428B94F46D29}"/>
    <hyperlink ref="T19" r:id="rId38" xr:uid="{B1BF215C-D9DA-6E44-97C2-786DAABEAEBF}"/>
    <hyperlink ref="T21" r:id="rId39" xr:uid="{0AB050F5-B2C9-8E45-A95B-579F533F0313}"/>
    <hyperlink ref="T3" r:id="rId40" xr:uid="{0C0347B1-4F49-C643-8D04-6F86EA3048E9}"/>
    <hyperlink ref="T20" r:id="rId41" xr:uid="{4DBC3828-6A5B-DD46-94E3-367FB12A5BEF}"/>
    <hyperlink ref="T7" r:id="rId42" xr:uid="{52FE1616-8D9F-7B43-8E79-4EFF4175EB1D}"/>
    <hyperlink ref="T10" r:id="rId43" xr:uid="{5F46A004-1C8E-FE4B-A194-DD632A81E565}"/>
    <hyperlink ref="T9" r:id="rId44" xr:uid="{BE8DBAE3-7E37-8A48-AF62-7D53516A331F}"/>
  </hyperlinks>
  <pageMargins left="0.7" right="0.7" top="0.75" bottom="0.75" header="0.3" footer="0.3"/>
  <pageSetup orientation="portrait" r:id="rId45"/>
  <legacy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E484-FB7A-5846-8802-9446064823C7}">
  <dimension ref="A1:DF39"/>
  <sheetViews>
    <sheetView tabSelected="1" topLeftCell="D1" zoomScale="108" zoomScaleNormal="60" workbookViewId="0">
      <pane xSplit="4" ySplit="2" topLeftCell="BU3" activePane="bottomRight" state="frozen"/>
      <selection pane="topRight" activeCell="H1" sqref="H1"/>
      <selection pane="bottomLeft" activeCell="A3" sqref="A3"/>
      <selection pane="bottomRight" activeCell="BY11" sqref="BY11"/>
    </sheetView>
  </sheetViews>
  <sheetFormatPr defaultColWidth="8.81640625" defaultRowHeight="14.5"/>
  <cols>
    <col min="1" max="1" width="2.6328125" hidden="1" customWidth="1"/>
    <col min="2" max="2" width="55.6328125" hidden="1" customWidth="1"/>
    <col min="3" max="3" width="16.36328125" hidden="1" customWidth="1"/>
    <col min="4" max="4" width="36.1796875" customWidth="1"/>
    <col min="5" max="5" width="21.81640625" customWidth="1"/>
    <col min="6" max="6" width="14.36328125" bestFit="1" customWidth="1"/>
    <col min="7" max="7" width="50.36328125" customWidth="1"/>
    <col min="8" max="8" width="8.6328125" customWidth="1"/>
    <col min="9" max="9" width="15.453125" bestFit="1" customWidth="1"/>
    <col min="10" max="10" width="21" customWidth="1"/>
    <col min="11" max="11" width="24.453125" customWidth="1"/>
    <col min="12" max="12" width="9.81640625" customWidth="1"/>
    <col min="13" max="13" width="15.453125" customWidth="1"/>
    <col min="14" max="14" width="10.1796875" customWidth="1"/>
    <col min="15" max="15" width="13.6328125" customWidth="1"/>
    <col min="16" max="17" width="9.1796875" customWidth="1"/>
    <col min="18" max="18" width="9.81640625" customWidth="1"/>
    <col min="19" max="19" width="10.1796875" customWidth="1"/>
    <col min="20" max="20" width="14.1796875" customWidth="1"/>
    <col min="21" max="21" width="17" customWidth="1"/>
    <col min="22" max="22" width="14.36328125" customWidth="1"/>
    <col min="23" max="23" width="13.1796875" customWidth="1"/>
    <col min="24" max="24" width="14.36328125" customWidth="1"/>
    <col min="25" max="25" width="17.6328125" customWidth="1"/>
    <col min="26" max="26" width="15.6328125" customWidth="1"/>
    <col min="27" max="27" width="9.453125" customWidth="1"/>
    <col min="28" max="28" width="17.81640625" customWidth="1"/>
    <col min="29" max="29" width="9.453125" customWidth="1"/>
    <col min="30" max="30" width="11.453125" customWidth="1"/>
    <col min="31" max="31" width="14.36328125" customWidth="1"/>
    <col min="32" max="33" width="18.1796875" customWidth="1"/>
    <col min="34" max="34" width="18.36328125" customWidth="1"/>
    <col min="35" max="35" width="9.6328125" customWidth="1"/>
    <col min="36" max="36" width="11.453125" customWidth="1"/>
    <col min="37" max="37" width="14.6328125" customWidth="1"/>
    <col min="38" max="38" width="18.1796875" customWidth="1"/>
    <col min="39" max="39" width="10" customWidth="1"/>
    <col min="40" max="40" width="17.453125" customWidth="1"/>
    <col min="41" max="41" width="13.6328125" customWidth="1"/>
    <col min="42" max="42" width="15" customWidth="1"/>
    <col min="43" max="43" width="14.6328125" customWidth="1"/>
    <col min="44" max="44" width="17.453125" customWidth="1"/>
    <col min="45" max="45" width="16.1796875" customWidth="1"/>
    <col min="46" max="46" width="17" customWidth="1"/>
    <col min="47" max="47" width="16.81640625" customWidth="1"/>
    <col min="48" max="48" width="16" customWidth="1"/>
    <col min="49" max="49" width="14.6328125" customWidth="1"/>
    <col min="50" max="50" width="17.36328125" customWidth="1"/>
    <col min="51" max="51" width="15.453125" customWidth="1"/>
    <col min="52" max="52" width="17.453125" customWidth="1"/>
    <col min="53" max="53" width="9.6328125" customWidth="1"/>
    <col min="54" max="54" width="11.453125" customWidth="1"/>
    <col min="55" max="55" width="14.6328125" customWidth="1"/>
    <col min="56" max="56" width="17.6328125" customWidth="1"/>
    <col min="57" max="57" width="9.81640625" customWidth="1"/>
    <col min="58" max="58" width="17.453125" customWidth="1"/>
    <col min="59" max="59" width="9.6328125" customWidth="1"/>
    <col min="60" max="60" width="11.453125" customWidth="1"/>
    <col min="61" max="61" width="14.36328125" customWidth="1"/>
    <col min="62" max="62" width="17.36328125" customWidth="1"/>
    <col min="63" max="63" width="14" customWidth="1"/>
    <col min="64" max="64" width="7.36328125" customWidth="1"/>
    <col min="65" max="65" width="17.453125" customWidth="1"/>
    <col min="66" max="66" width="14.81640625" customWidth="1"/>
    <col min="67" max="67" width="14.1796875" customWidth="1"/>
    <col min="68" max="68" width="14.6328125" customWidth="1"/>
    <col min="69" max="70" width="17.6328125" customWidth="1"/>
    <col min="71" max="71" width="15" bestFit="1" customWidth="1"/>
    <col min="72" max="72" width="17" bestFit="1" customWidth="1"/>
    <col min="73" max="73" width="16.1796875" bestFit="1" customWidth="1"/>
    <col min="74" max="74" width="15" bestFit="1" customWidth="1"/>
    <col min="75" max="75" width="14.36328125" bestFit="1" customWidth="1"/>
    <col min="76" max="76" width="16.453125" bestFit="1" customWidth="1"/>
    <col min="77" max="77" width="17.6328125" bestFit="1" customWidth="1"/>
    <col min="78" max="78" width="17.6328125" customWidth="1"/>
    <col min="79" max="79" width="28.81640625" bestFit="1" customWidth="1"/>
    <col min="80" max="80" width="7.36328125" bestFit="1" customWidth="1"/>
    <col min="81" max="81" width="17.453125" bestFit="1" customWidth="1"/>
    <col min="82" max="82" width="15" bestFit="1" customWidth="1"/>
    <col min="83" max="83" width="11.453125" bestFit="1" customWidth="1"/>
    <col min="84" max="84" width="14.6328125" bestFit="1" customWidth="1"/>
    <col min="85" max="85" width="17.6328125" bestFit="1" customWidth="1"/>
    <col min="86" max="86" width="17.6328125" customWidth="1"/>
    <col min="87" max="87" width="22.453125" bestFit="1" customWidth="1"/>
    <col min="88" max="88" width="16.1796875" bestFit="1" customWidth="1"/>
    <col min="89" max="89" width="14" bestFit="1" customWidth="1"/>
    <col min="90" max="90" width="14.6328125" bestFit="1" customWidth="1"/>
    <col min="91" max="91" width="15.36328125" customWidth="1"/>
    <col min="92" max="92" width="15" customWidth="1"/>
    <col min="93" max="93" width="18.1796875" customWidth="1"/>
    <col min="94" max="94" width="19.453125" bestFit="1" customWidth="1"/>
    <col min="95" max="95" width="57.453125" bestFit="1" customWidth="1"/>
  </cols>
  <sheetData>
    <row r="1" spans="1:110" ht="21" customHeight="1">
      <c r="J1" s="99" t="s">
        <v>136</v>
      </c>
      <c r="K1" s="99"/>
      <c r="L1" s="99"/>
      <c r="M1" s="100"/>
      <c r="N1" s="26"/>
      <c r="O1" s="96" t="s">
        <v>137</v>
      </c>
      <c r="P1" s="96"/>
      <c r="Q1" s="96"/>
      <c r="R1" s="96"/>
      <c r="S1" s="96"/>
      <c r="T1" s="96" t="s">
        <v>138</v>
      </c>
      <c r="U1" s="96"/>
      <c r="V1" s="96"/>
      <c r="W1" s="96"/>
      <c r="X1" s="96"/>
      <c r="Y1" s="96"/>
      <c r="Z1" s="17"/>
      <c r="AA1" s="96" t="s">
        <v>139</v>
      </c>
      <c r="AB1" s="96"/>
      <c r="AC1" s="96"/>
      <c r="AD1" s="96"/>
      <c r="AE1" s="96"/>
      <c r="AF1" s="96"/>
      <c r="AG1" s="17"/>
      <c r="AH1" s="96" t="s">
        <v>140</v>
      </c>
      <c r="AI1" s="96"/>
      <c r="AJ1" s="96"/>
      <c r="AK1" s="96"/>
      <c r="AL1" s="96"/>
      <c r="AM1" s="96"/>
      <c r="AN1" s="96" t="s">
        <v>141</v>
      </c>
      <c r="AO1" s="96"/>
      <c r="AP1" s="96"/>
      <c r="AQ1" s="96"/>
      <c r="AR1" s="96"/>
      <c r="AS1" s="96"/>
      <c r="AT1" s="96" t="s">
        <v>142</v>
      </c>
      <c r="AU1" s="96"/>
      <c r="AV1" s="96"/>
      <c r="AW1" s="96"/>
      <c r="AX1" s="96"/>
      <c r="AY1" s="96"/>
      <c r="AZ1" s="96" t="s">
        <v>143</v>
      </c>
      <c r="BA1" s="96"/>
      <c r="BB1" s="96"/>
      <c r="BC1" s="96"/>
      <c r="BD1" s="96"/>
      <c r="BE1" s="96"/>
      <c r="BF1" s="96" t="s">
        <v>144</v>
      </c>
      <c r="BG1" s="96"/>
      <c r="BH1" s="96"/>
      <c r="BI1" s="96"/>
      <c r="BJ1" s="96"/>
      <c r="BK1" s="96"/>
      <c r="BL1" s="96" t="s">
        <v>145</v>
      </c>
      <c r="BM1" s="96"/>
      <c r="BN1" s="96"/>
      <c r="BO1" s="96"/>
      <c r="BP1" s="96"/>
      <c r="BQ1" s="96"/>
      <c r="BR1" s="17"/>
      <c r="BS1" s="96" t="s">
        <v>146</v>
      </c>
      <c r="BT1" s="96"/>
      <c r="BU1" s="96"/>
      <c r="BV1" s="96"/>
      <c r="BW1" s="96"/>
      <c r="BX1" s="96"/>
      <c r="BY1" s="96"/>
      <c r="BZ1" s="17"/>
      <c r="CA1" s="17" t="s">
        <v>147</v>
      </c>
      <c r="CB1" s="96" t="s">
        <v>148</v>
      </c>
      <c r="CC1" s="96"/>
      <c r="CD1" s="96"/>
      <c r="CE1" s="96"/>
      <c r="CF1" s="96"/>
      <c r="CG1" s="96"/>
      <c r="CH1" s="17"/>
      <c r="CI1" s="27" t="s">
        <v>149</v>
      </c>
      <c r="CJ1" s="96" t="s">
        <v>150</v>
      </c>
      <c r="CK1" s="96"/>
      <c r="CL1" s="96"/>
      <c r="CM1" s="96"/>
      <c r="CN1" s="96"/>
      <c r="CO1" s="28"/>
      <c r="CP1" s="97" t="s">
        <v>13</v>
      </c>
      <c r="CQ1" s="29"/>
    </row>
    <row r="2" spans="1:110" s="2" customFormat="1" ht="33.5" customHeight="1">
      <c r="B2" s="30" t="s">
        <v>151</v>
      </c>
      <c r="C2" s="31" t="s">
        <v>152</v>
      </c>
      <c r="D2" s="32" t="s">
        <v>0</v>
      </c>
      <c r="E2" s="32" t="s">
        <v>1</v>
      </c>
      <c r="F2" s="14" t="s">
        <v>2</v>
      </c>
      <c r="G2" s="14" t="s">
        <v>3</v>
      </c>
      <c r="H2" s="82" t="s">
        <v>12</v>
      </c>
      <c r="I2" s="84" t="s">
        <v>115</v>
      </c>
      <c r="J2" s="81" t="s">
        <v>153</v>
      </c>
      <c r="K2" s="17" t="s">
        <v>154</v>
      </c>
      <c r="L2" s="17"/>
      <c r="M2" s="17" t="s">
        <v>155</v>
      </c>
      <c r="N2" s="17"/>
      <c r="O2" s="33" t="s">
        <v>156</v>
      </c>
      <c r="P2" s="33" t="s">
        <v>157</v>
      </c>
      <c r="Q2" s="33" t="s">
        <v>158</v>
      </c>
      <c r="R2" s="17" t="s">
        <v>159</v>
      </c>
      <c r="S2" s="17" t="s">
        <v>160</v>
      </c>
      <c r="T2" s="28" t="s">
        <v>161</v>
      </c>
      <c r="U2" s="28" t="s">
        <v>162</v>
      </c>
      <c r="V2" s="28" t="s">
        <v>163</v>
      </c>
      <c r="W2" s="28" t="s">
        <v>164</v>
      </c>
      <c r="X2" s="28" t="s">
        <v>165</v>
      </c>
      <c r="Y2" s="28" t="s">
        <v>166</v>
      </c>
      <c r="Z2" s="67" t="s">
        <v>167</v>
      </c>
      <c r="AA2" s="28" t="s">
        <v>161</v>
      </c>
      <c r="AB2" s="28" t="s">
        <v>162</v>
      </c>
      <c r="AC2" s="28" t="s">
        <v>163</v>
      </c>
      <c r="AD2" s="28" t="s">
        <v>164</v>
      </c>
      <c r="AE2" s="28" t="s">
        <v>165</v>
      </c>
      <c r="AF2" s="28" t="s">
        <v>166</v>
      </c>
      <c r="AG2" s="34" t="s">
        <v>168</v>
      </c>
      <c r="AH2" s="28" t="s">
        <v>162</v>
      </c>
      <c r="AI2" s="28" t="s">
        <v>163</v>
      </c>
      <c r="AJ2" s="28" t="s">
        <v>164</v>
      </c>
      <c r="AK2" s="28" t="s">
        <v>165</v>
      </c>
      <c r="AL2" s="28" t="s">
        <v>166</v>
      </c>
      <c r="AM2" s="34" t="s">
        <v>169</v>
      </c>
      <c r="AN2" s="28" t="s">
        <v>162</v>
      </c>
      <c r="AO2" s="28" t="s">
        <v>163</v>
      </c>
      <c r="AP2" s="28" t="s">
        <v>164</v>
      </c>
      <c r="AQ2" s="28" t="s">
        <v>165</v>
      </c>
      <c r="AR2" s="28" t="s">
        <v>166</v>
      </c>
      <c r="AS2" s="67" t="s">
        <v>249</v>
      </c>
      <c r="AT2" s="28" t="s">
        <v>162</v>
      </c>
      <c r="AU2" s="28" t="s">
        <v>163</v>
      </c>
      <c r="AV2" s="28" t="s">
        <v>164</v>
      </c>
      <c r="AW2" s="28" t="s">
        <v>165</v>
      </c>
      <c r="AX2" s="28" t="s">
        <v>166</v>
      </c>
      <c r="AY2" s="34" t="s">
        <v>250</v>
      </c>
      <c r="AZ2" s="28" t="s">
        <v>162</v>
      </c>
      <c r="BA2" s="28" t="s">
        <v>163</v>
      </c>
      <c r="BB2" s="28" t="s">
        <v>164</v>
      </c>
      <c r="BC2" s="28" t="s">
        <v>165</v>
      </c>
      <c r="BD2" s="28" t="s">
        <v>166</v>
      </c>
      <c r="BE2" s="34" t="s">
        <v>169</v>
      </c>
      <c r="BF2" s="28" t="s">
        <v>162</v>
      </c>
      <c r="BG2" s="28" t="s">
        <v>163</v>
      </c>
      <c r="BH2" s="28" t="s">
        <v>164</v>
      </c>
      <c r="BI2" s="28" t="s">
        <v>165</v>
      </c>
      <c r="BJ2" s="28" t="s">
        <v>166</v>
      </c>
      <c r="BK2" s="34" t="s">
        <v>169</v>
      </c>
      <c r="BL2" s="28" t="s">
        <v>161</v>
      </c>
      <c r="BM2" s="28" t="s">
        <v>162</v>
      </c>
      <c r="BN2" s="28" t="s">
        <v>163</v>
      </c>
      <c r="BO2" s="28" t="s">
        <v>164</v>
      </c>
      <c r="BP2" s="28" t="s">
        <v>165</v>
      </c>
      <c r="BQ2" s="28" t="s">
        <v>166</v>
      </c>
      <c r="BR2" s="34" t="s">
        <v>168</v>
      </c>
      <c r="BS2" s="28" t="s">
        <v>161</v>
      </c>
      <c r="BT2" s="28" t="s">
        <v>162</v>
      </c>
      <c r="BU2" s="28" t="s">
        <v>163</v>
      </c>
      <c r="BV2" s="28" t="s">
        <v>164</v>
      </c>
      <c r="BW2" s="28" t="s">
        <v>165</v>
      </c>
      <c r="BX2" s="28" t="s">
        <v>166</v>
      </c>
      <c r="BY2" s="67" t="s">
        <v>248</v>
      </c>
      <c r="BZ2" s="35" t="s">
        <v>170</v>
      </c>
      <c r="CA2" s="28" t="s">
        <v>169</v>
      </c>
      <c r="CB2" s="28" t="s">
        <v>161</v>
      </c>
      <c r="CC2" s="28" t="s">
        <v>162</v>
      </c>
      <c r="CD2" s="28" t="s">
        <v>163</v>
      </c>
      <c r="CE2" s="28" t="s">
        <v>164</v>
      </c>
      <c r="CF2" s="28" t="s">
        <v>165</v>
      </c>
      <c r="CG2" s="28" t="s">
        <v>166</v>
      </c>
      <c r="CH2" s="34" t="s">
        <v>169</v>
      </c>
      <c r="CI2" s="27" t="s">
        <v>149</v>
      </c>
      <c r="CJ2" s="28" t="s">
        <v>171</v>
      </c>
      <c r="CK2" s="28" t="s">
        <v>172</v>
      </c>
      <c r="CL2" s="28" t="s">
        <v>165</v>
      </c>
      <c r="CM2" s="36" t="s">
        <v>173</v>
      </c>
      <c r="CN2" s="36" t="s">
        <v>174</v>
      </c>
      <c r="CO2" s="37" t="s">
        <v>251</v>
      </c>
      <c r="CP2" s="98"/>
      <c r="CQ2" s="38" t="s">
        <v>77</v>
      </c>
    </row>
    <row r="3" spans="1:110" s="6" customFormat="1" ht="17" customHeight="1">
      <c r="A3"/>
      <c r="B3" s="39"/>
      <c r="C3" s="39" t="s">
        <v>175</v>
      </c>
      <c r="D3" s="3" t="s">
        <v>4</v>
      </c>
      <c r="E3" s="3" t="s">
        <v>5</v>
      </c>
      <c r="F3" s="4" t="s">
        <v>10</v>
      </c>
      <c r="G3" s="3" t="s">
        <v>11</v>
      </c>
      <c r="H3" s="48">
        <v>4</v>
      </c>
      <c r="I3" s="41">
        <v>60</v>
      </c>
      <c r="J3" s="3" t="s">
        <v>176</v>
      </c>
      <c r="K3" s="5" t="s">
        <v>177</v>
      </c>
      <c r="L3" s="5"/>
      <c r="M3" s="5" t="s">
        <v>178</v>
      </c>
      <c r="N3" s="5">
        <v>24</v>
      </c>
      <c r="O3" s="40">
        <v>2270</v>
      </c>
      <c r="P3" s="40">
        <v>3881</v>
      </c>
      <c r="Q3" s="40">
        <v>3238</v>
      </c>
      <c r="R3" s="3">
        <v>1386</v>
      </c>
      <c r="S3" s="3">
        <f t="shared" ref="S3:S28" si="0">SUM(O3:R3)</f>
        <v>10775</v>
      </c>
      <c r="T3" s="42"/>
      <c r="U3" s="42"/>
      <c r="V3" s="42"/>
      <c r="W3" s="42"/>
      <c r="X3" s="42"/>
      <c r="Y3" s="42"/>
      <c r="Z3" s="68">
        <f>SUM(T3,U3,V3,W3,X3,Y3)</f>
        <v>0</v>
      </c>
      <c r="AA3" s="42"/>
      <c r="AB3" s="42"/>
      <c r="AC3" s="42"/>
      <c r="AD3" s="42"/>
      <c r="AE3" s="42"/>
      <c r="AF3" s="42"/>
      <c r="AG3" s="43"/>
      <c r="AH3" s="42"/>
      <c r="AI3" s="42"/>
      <c r="AJ3" s="42"/>
      <c r="AK3" s="42"/>
      <c r="AL3" s="42"/>
      <c r="AM3" s="43"/>
      <c r="AN3" s="42"/>
      <c r="AO3" s="42"/>
      <c r="AP3" s="42"/>
      <c r="AQ3" s="42"/>
      <c r="AR3" s="42"/>
      <c r="AS3" s="68"/>
      <c r="AT3" s="42"/>
      <c r="AU3" s="42"/>
      <c r="AV3" s="42"/>
      <c r="AW3" s="42"/>
      <c r="AX3" s="42"/>
      <c r="AY3" s="68"/>
      <c r="AZ3" s="42"/>
      <c r="BA3" s="42"/>
      <c r="BB3" s="42"/>
      <c r="BC3" s="42"/>
      <c r="BD3" s="42"/>
      <c r="BE3" s="43"/>
      <c r="BF3" s="42"/>
      <c r="BG3" s="42"/>
      <c r="BH3" s="42"/>
      <c r="BI3" s="42"/>
      <c r="BJ3" s="42"/>
      <c r="BK3" s="68"/>
      <c r="BL3" s="42"/>
      <c r="BM3" s="42"/>
      <c r="BN3" s="42"/>
      <c r="BO3" s="42"/>
      <c r="BP3" s="42"/>
      <c r="BQ3" s="42"/>
      <c r="BR3" s="43"/>
      <c r="BS3" s="42"/>
      <c r="BT3" s="42"/>
      <c r="BU3" s="42"/>
      <c r="BV3" s="42"/>
      <c r="BW3" s="42"/>
      <c r="BX3" s="42"/>
      <c r="BY3" s="68"/>
      <c r="BZ3" s="44"/>
      <c r="CA3" s="42"/>
      <c r="CB3" s="42"/>
      <c r="CC3" s="42"/>
      <c r="CD3" s="42"/>
      <c r="CE3" s="42"/>
      <c r="CF3" s="42"/>
      <c r="CG3" s="42"/>
      <c r="CH3" s="43"/>
      <c r="CI3" s="42"/>
      <c r="CJ3" s="42"/>
      <c r="CK3" s="42"/>
      <c r="CL3" s="42"/>
      <c r="CM3" s="42"/>
      <c r="CN3" s="42"/>
      <c r="CO3" s="43"/>
      <c r="CP3" s="85"/>
      <c r="CQ3" s="45" t="s">
        <v>78</v>
      </c>
      <c r="DF3" s="6" t="s">
        <v>179</v>
      </c>
    </row>
    <row r="4" spans="1:110" s="6" customFormat="1" ht="17" customHeight="1">
      <c r="B4" s="40"/>
      <c r="C4" s="40" t="s">
        <v>180</v>
      </c>
      <c r="D4" s="3" t="s">
        <v>4</v>
      </c>
      <c r="E4" s="3" t="s">
        <v>5</v>
      </c>
      <c r="F4" s="7" t="s">
        <v>6</v>
      </c>
      <c r="G4" s="9" t="s">
        <v>7</v>
      </c>
      <c r="H4" s="83">
        <v>6</v>
      </c>
      <c r="I4" s="41">
        <v>57</v>
      </c>
      <c r="J4" s="3" t="s">
        <v>176</v>
      </c>
      <c r="K4" s="5" t="s">
        <v>181</v>
      </c>
      <c r="L4" s="5"/>
      <c r="M4" s="5" t="s">
        <v>178</v>
      </c>
      <c r="N4" s="5">
        <v>24</v>
      </c>
      <c r="O4" s="40">
        <v>4052</v>
      </c>
      <c r="P4" s="40">
        <v>3450</v>
      </c>
      <c r="Q4" s="40">
        <v>3665</v>
      </c>
      <c r="R4" s="3">
        <v>2480</v>
      </c>
      <c r="S4" s="3">
        <f t="shared" si="0"/>
        <v>13647</v>
      </c>
      <c r="T4" s="42">
        <v>2815046</v>
      </c>
      <c r="U4" s="42">
        <v>8876532</v>
      </c>
      <c r="V4" s="42">
        <v>10209288</v>
      </c>
      <c r="W4" s="42">
        <v>14248568</v>
      </c>
      <c r="X4" s="42">
        <v>26153686</v>
      </c>
      <c r="Y4" s="42">
        <v>30655659</v>
      </c>
      <c r="Z4" s="68">
        <f t="shared" ref="Z4:Z27" si="1">SUM(T4,U4,V4,W4,X4,Y4)</f>
        <v>92958779</v>
      </c>
      <c r="AA4" s="42">
        <v>0</v>
      </c>
      <c r="AB4" s="42">
        <v>0</v>
      </c>
      <c r="AC4" s="42">
        <v>0</v>
      </c>
      <c r="AD4" s="42">
        <v>0</v>
      </c>
      <c r="AE4" s="46">
        <v>0</v>
      </c>
      <c r="AF4" s="42">
        <v>0</v>
      </c>
      <c r="AG4" s="43"/>
      <c r="AH4" s="42">
        <v>0</v>
      </c>
      <c r="AI4" s="42">
        <v>0</v>
      </c>
      <c r="AJ4" s="42">
        <v>0</v>
      </c>
      <c r="AK4" s="42">
        <v>0</v>
      </c>
      <c r="AL4" s="42">
        <v>0</v>
      </c>
      <c r="AM4" s="43">
        <v>0</v>
      </c>
      <c r="AN4" s="42">
        <v>22851814</v>
      </c>
      <c r="AO4" s="42">
        <v>66975511</v>
      </c>
      <c r="AP4" s="42">
        <v>24583889</v>
      </c>
      <c r="AQ4" s="42">
        <v>0</v>
      </c>
      <c r="AR4" s="42">
        <v>28325120.989999998</v>
      </c>
      <c r="AS4" s="68">
        <v>142736334.99000001</v>
      </c>
      <c r="AT4" s="42">
        <v>0</v>
      </c>
      <c r="AU4" s="42">
        <v>0</v>
      </c>
      <c r="AV4" s="42">
        <v>0</v>
      </c>
      <c r="AW4" s="42">
        <v>0</v>
      </c>
      <c r="AX4" s="42">
        <v>0</v>
      </c>
      <c r="AY4" s="68">
        <v>0</v>
      </c>
      <c r="AZ4" s="42">
        <v>0</v>
      </c>
      <c r="BA4" s="42">
        <v>0</v>
      </c>
      <c r="BB4" s="42">
        <v>0</v>
      </c>
      <c r="BC4" s="42">
        <v>0</v>
      </c>
      <c r="BD4" s="42">
        <v>0</v>
      </c>
      <c r="BE4" s="43">
        <v>0</v>
      </c>
      <c r="BF4" s="42">
        <v>0</v>
      </c>
      <c r="BG4" s="42">
        <v>0</v>
      </c>
      <c r="BH4" s="42">
        <v>0</v>
      </c>
      <c r="BI4" s="42">
        <v>0</v>
      </c>
      <c r="BJ4" s="42">
        <v>0</v>
      </c>
      <c r="BK4" s="68">
        <v>0</v>
      </c>
      <c r="BL4" s="42">
        <v>0</v>
      </c>
      <c r="BM4" s="42">
        <v>0</v>
      </c>
      <c r="BN4" s="42">
        <v>0</v>
      </c>
      <c r="BO4" s="42">
        <v>0</v>
      </c>
      <c r="BP4" s="42">
        <v>0</v>
      </c>
      <c r="BQ4" s="42">
        <v>0</v>
      </c>
      <c r="BR4" s="43"/>
      <c r="BS4" s="42">
        <v>18503618.149999999</v>
      </c>
      <c r="BT4" s="42">
        <v>7769731</v>
      </c>
      <c r="BU4" s="42">
        <v>78312152.730000004</v>
      </c>
      <c r="BV4" s="42">
        <v>10474228</v>
      </c>
      <c r="BW4" s="42">
        <v>21695952</v>
      </c>
      <c r="BX4" s="42">
        <v>93854680.340000004</v>
      </c>
      <c r="BY4" s="68">
        <f>SUM(BS4:BX4)</f>
        <v>230610362.22</v>
      </c>
      <c r="BZ4" s="44">
        <f>BY4/28.1/24</f>
        <v>341948.9356761566</v>
      </c>
      <c r="CA4" s="42">
        <v>33066312.149999999</v>
      </c>
      <c r="CB4" s="42">
        <v>0</v>
      </c>
      <c r="CC4" s="42">
        <v>0</v>
      </c>
      <c r="CD4" s="42">
        <v>0</v>
      </c>
      <c r="CE4" s="42">
        <v>0</v>
      </c>
      <c r="CF4" s="42">
        <v>0</v>
      </c>
      <c r="CG4" s="42">
        <v>0</v>
      </c>
      <c r="CH4" s="43"/>
      <c r="CI4" s="42">
        <v>5786588.9900000002</v>
      </c>
      <c r="CJ4" s="42">
        <v>45911890.140000001</v>
      </c>
      <c r="CK4" s="42">
        <v>1378726.78</v>
      </c>
      <c r="CL4" s="42">
        <v>2568195.7200000002</v>
      </c>
      <c r="CM4" s="42">
        <v>4665340.1100000003</v>
      </c>
      <c r="CN4" s="42">
        <v>1795434.92</v>
      </c>
      <c r="CO4" s="43">
        <f t="shared" ref="CO4:CO30" si="2">SUM(CJ4:CN4)</f>
        <v>56319587.670000002</v>
      </c>
      <c r="CP4" s="85">
        <v>561477965.01999998</v>
      </c>
      <c r="CQ4" s="45" t="s">
        <v>79</v>
      </c>
    </row>
    <row r="5" spans="1:110" s="6" customFormat="1" ht="17" customHeight="1">
      <c r="B5" s="40"/>
      <c r="C5" s="40" t="s">
        <v>182</v>
      </c>
      <c r="D5" s="3" t="s">
        <v>4</v>
      </c>
      <c r="E5" s="3" t="s">
        <v>5</v>
      </c>
      <c r="F5" s="7" t="s">
        <v>8</v>
      </c>
      <c r="G5" s="3" t="s">
        <v>9</v>
      </c>
      <c r="H5" s="48">
        <v>4</v>
      </c>
      <c r="I5" s="41">
        <v>40</v>
      </c>
      <c r="J5" s="3" t="s">
        <v>183</v>
      </c>
      <c r="K5" s="5" t="s">
        <v>184</v>
      </c>
      <c r="L5" s="5">
        <f>67.2+3.5+12.1</f>
        <v>82.8</v>
      </c>
      <c r="M5" s="5" t="s">
        <v>185</v>
      </c>
      <c r="N5" s="5">
        <v>24</v>
      </c>
      <c r="O5" s="40">
        <f>2377+1715</f>
        <v>4092</v>
      </c>
      <c r="P5" s="40">
        <f>1172+1062</f>
        <v>2234</v>
      </c>
      <c r="Q5" s="40">
        <f>1148+1123</f>
        <v>2271</v>
      </c>
      <c r="R5" s="3">
        <f>326+255</f>
        <v>581</v>
      </c>
      <c r="S5" s="3">
        <f t="shared" si="0"/>
        <v>9178</v>
      </c>
      <c r="T5" s="42">
        <v>0</v>
      </c>
      <c r="U5" s="42">
        <v>7187043</v>
      </c>
      <c r="V5" s="42">
        <v>12822080</v>
      </c>
      <c r="W5" s="42">
        <v>20545963</v>
      </c>
      <c r="X5" s="42">
        <v>0</v>
      </c>
      <c r="Y5" s="42">
        <v>105022189</v>
      </c>
      <c r="Z5" s="68">
        <f t="shared" si="1"/>
        <v>145577275</v>
      </c>
      <c r="AA5" s="42">
        <v>0</v>
      </c>
      <c r="AB5" s="42">
        <v>0</v>
      </c>
      <c r="AC5" s="42">
        <v>0</v>
      </c>
      <c r="AD5" s="42">
        <v>0</v>
      </c>
      <c r="AE5" s="46">
        <v>0</v>
      </c>
      <c r="AF5" s="42">
        <v>0</v>
      </c>
      <c r="AG5" s="43"/>
      <c r="AH5" s="42">
        <v>0</v>
      </c>
      <c r="AI5" s="42">
        <v>0</v>
      </c>
      <c r="AJ5" s="42">
        <v>0</v>
      </c>
      <c r="AK5" s="42">
        <v>0</v>
      </c>
      <c r="AL5" s="42">
        <v>0</v>
      </c>
      <c r="AM5" s="43">
        <v>0</v>
      </c>
      <c r="AN5" s="42">
        <v>15658909</v>
      </c>
      <c r="AO5" s="42">
        <v>111425562</v>
      </c>
      <c r="AP5" s="42">
        <v>45253620</v>
      </c>
      <c r="AQ5" s="42">
        <v>0</v>
      </c>
      <c r="AR5" s="42">
        <v>130840750</v>
      </c>
      <c r="AS5" s="68">
        <v>303178841</v>
      </c>
      <c r="AT5" s="42">
        <v>0</v>
      </c>
      <c r="AU5" s="42">
        <v>0</v>
      </c>
      <c r="AV5" s="42">
        <v>0</v>
      </c>
      <c r="AW5" s="42">
        <v>0</v>
      </c>
      <c r="AX5" s="42">
        <v>0</v>
      </c>
      <c r="AY5" s="68">
        <v>0</v>
      </c>
      <c r="AZ5" s="42">
        <v>0</v>
      </c>
      <c r="BA5" s="42">
        <v>0</v>
      </c>
      <c r="BB5" s="42">
        <v>0</v>
      </c>
      <c r="BC5" s="42">
        <v>0</v>
      </c>
      <c r="BD5" s="42">
        <v>0</v>
      </c>
      <c r="BE5" s="43">
        <v>0</v>
      </c>
      <c r="BF5" s="42">
        <v>0</v>
      </c>
      <c r="BG5" s="42">
        <v>0</v>
      </c>
      <c r="BH5" s="42">
        <v>0</v>
      </c>
      <c r="BI5" s="42">
        <v>0</v>
      </c>
      <c r="BJ5" s="42">
        <v>0</v>
      </c>
      <c r="BK5" s="68">
        <v>0</v>
      </c>
      <c r="BL5" s="42">
        <v>0</v>
      </c>
      <c r="BM5" s="42">
        <v>0</v>
      </c>
      <c r="BN5" s="42">
        <v>0</v>
      </c>
      <c r="BO5" s="42">
        <v>0</v>
      </c>
      <c r="BP5" s="42">
        <v>0</v>
      </c>
      <c r="BQ5" s="42">
        <v>0</v>
      </c>
      <c r="BR5" s="43"/>
      <c r="BS5" s="42">
        <v>0</v>
      </c>
      <c r="BT5" s="42">
        <v>17965836</v>
      </c>
      <c r="BU5" s="42">
        <v>473907893</v>
      </c>
      <c r="BV5" s="42">
        <v>40890390</v>
      </c>
      <c r="BW5" s="42">
        <v>0</v>
      </c>
      <c r="BX5" s="42">
        <v>291809113</v>
      </c>
      <c r="BY5" s="68">
        <f t="shared" ref="BY5:BY25" si="3">SUM(BS5:BX5)</f>
        <v>824573232</v>
      </c>
      <c r="BZ5" s="44">
        <f>BY5/(67.2+3.5*2+12.1*2)/24</f>
        <v>349158.71951219509</v>
      </c>
      <c r="CA5" s="42">
        <v>0</v>
      </c>
      <c r="CB5" s="42">
        <v>0</v>
      </c>
      <c r="CC5" s="42">
        <v>2794233</v>
      </c>
      <c r="CD5" s="42">
        <v>17042676</v>
      </c>
      <c r="CE5" s="42">
        <v>0</v>
      </c>
      <c r="CF5" s="42">
        <v>0</v>
      </c>
      <c r="CG5" s="42">
        <v>40470440</v>
      </c>
      <c r="CH5" s="43"/>
      <c r="CI5" s="42">
        <v>10385784.4</v>
      </c>
      <c r="CJ5" s="42">
        <v>115168836.5</v>
      </c>
      <c r="CK5" s="42">
        <v>7136222.5</v>
      </c>
      <c r="CL5" s="42">
        <v>0</v>
      </c>
      <c r="CM5" s="42">
        <v>19604754</v>
      </c>
      <c r="CN5" s="42">
        <v>940849</v>
      </c>
      <c r="CO5" s="43">
        <f t="shared" si="2"/>
        <v>142850662</v>
      </c>
      <c r="CP5" s="85">
        <v>1486873143.4000001</v>
      </c>
      <c r="CQ5" s="45" t="s">
        <v>80</v>
      </c>
    </row>
    <row r="6" spans="1:110" s="6" customFormat="1" ht="17" customHeight="1">
      <c r="B6" s="40"/>
      <c r="C6" s="40"/>
      <c r="D6" s="3" t="s">
        <v>4</v>
      </c>
      <c r="E6" s="3" t="s">
        <v>5</v>
      </c>
      <c r="F6" s="7" t="s">
        <v>100</v>
      </c>
      <c r="G6" s="3" t="s">
        <v>101</v>
      </c>
      <c r="H6" s="48">
        <v>4</v>
      </c>
      <c r="I6" s="41">
        <v>40</v>
      </c>
      <c r="J6" s="3"/>
      <c r="K6" s="5" t="s">
        <v>247</v>
      </c>
      <c r="L6" s="5"/>
      <c r="M6" s="5" t="s">
        <v>226</v>
      </c>
      <c r="N6" s="5"/>
      <c r="O6" s="40">
        <v>1836</v>
      </c>
      <c r="P6" s="40">
        <v>1699</v>
      </c>
      <c r="Q6" s="40">
        <v>1588</v>
      </c>
      <c r="R6" s="3">
        <v>378</v>
      </c>
      <c r="S6" s="3">
        <f t="shared" si="0"/>
        <v>5501</v>
      </c>
      <c r="T6" s="46">
        <v>0</v>
      </c>
      <c r="U6" s="46">
        <v>2647263</v>
      </c>
      <c r="V6" s="46">
        <v>9552484</v>
      </c>
      <c r="W6" s="46">
        <v>9828210</v>
      </c>
      <c r="X6" s="46">
        <v>0</v>
      </c>
      <c r="Y6" s="46">
        <v>42551259</v>
      </c>
      <c r="Z6" s="68">
        <f t="shared" si="1"/>
        <v>64579216</v>
      </c>
      <c r="AA6" s="42">
        <v>0</v>
      </c>
      <c r="AB6" s="46">
        <v>0</v>
      </c>
      <c r="AC6" s="42">
        <v>0</v>
      </c>
      <c r="AD6" s="42">
        <v>0</v>
      </c>
      <c r="AE6" s="46">
        <v>0</v>
      </c>
      <c r="AF6" s="42">
        <v>0</v>
      </c>
      <c r="AG6" s="43"/>
      <c r="AH6" s="42">
        <v>0</v>
      </c>
      <c r="AI6" s="42">
        <v>0</v>
      </c>
      <c r="AJ6" s="42">
        <v>0</v>
      </c>
      <c r="AK6" s="42">
        <v>0</v>
      </c>
      <c r="AL6" s="42">
        <v>0</v>
      </c>
      <c r="AM6" s="43">
        <v>0</v>
      </c>
      <c r="AN6" s="42">
        <v>7559929</v>
      </c>
      <c r="AO6" s="46">
        <v>64796516</v>
      </c>
      <c r="AP6" s="42">
        <v>23832378</v>
      </c>
      <c r="AQ6" s="42">
        <v>0</v>
      </c>
      <c r="AR6" s="46">
        <v>66736168</v>
      </c>
      <c r="AS6" s="68">
        <v>162924991</v>
      </c>
      <c r="AT6" s="46">
        <v>0</v>
      </c>
      <c r="AU6" s="46">
        <v>0</v>
      </c>
      <c r="AV6" s="46">
        <v>0</v>
      </c>
      <c r="AW6" s="42">
        <v>0</v>
      </c>
      <c r="AX6" s="46">
        <v>0</v>
      </c>
      <c r="AY6" s="71">
        <v>0</v>
      </c>
      <c r="AZ6" s="42">
        <v>0</v>
      </c>
      <c r="BA6" s="42">
        <v>0</v>
      </c>
      <c r="BB6" s="42">
        <v>0</v>
      </c>
      <c r="BC6" s="42">
        <v>0</v>
      </c>
      <c r="BD6" s="42">
        <v>0</v>
      </c>
      <c r="BE6" s="43">
        <v>0</v>
      </c>
      <c r="BF6" s="42">
        <v>0</v>
      </c>
      <c r="BG6" s="42">
        <v>0</v>
      </c>
      <c r="BH6" s="42">
        <v>0</v>
      </c>
      <c r="BI6" s="46">
        <v>0</v>
      </c>
      <c r="BJ6" s="46">
        <v>0</v>
      </c>
      <c r="BK6" s="68">
        <v>0</v>
      </c>
      <c r="BL6" s="42">
        <v>0</v>
      </c>
      <c r="BM6" s="42">
        <v>0</v>
      </c>
      <c r="BN6" s="42">
        <v>0</v>
      </c>
      <c r="BO6" s="42">
        <v>0</v>
      </c>
      <c r="BP6" s="42">
        <v>0</v>
      </c>
      <c r="BQ6" s="42">
        <v>0</v>
      </c>
      <c r="BR6" s="43"/>
      <c r="BS6" s="42">
        <v>0</v>
      </c>
      <c r="BT6" s="46">
        <v>9525261</v>
      </c>
      <c r="BU6" s="42">
        <v>72703162</v>
      </c>
      <c r="BV6" s="42">
        <v>8326774</v>
      </c>
      <c r="BW6" s="46">
        <v>0</v>
      </c>
      <c r="BX6" s="42">
        <v>138347198</v>
      </c>
      <c r="BY6" s="68">
        <f t="shared" si="3"/>
        <v>228902395</v>
      </c>
      <c r="BZ6" s="44">
        <v>0</v>
      </c>
      <c r="CA6" s="46">
        <v>0</v>
      </c>
      <c r="CB6" s="42">
        <v>0</v>
      </c>
      <c r="CC6" s="42">
        <v>1253822</v>
      </c>
      <c r="CD6" s="42">
        <v>3849800</v>
      </c>
      <c r="CE6" s="42">
        <v>0</v>
      </c>
      <c r="CF6" s="42">
        <v>0</v>
      </c>
      <c r="CG6" s="42">
        <v>26024710</v>
      </c>
      <c r="CH6" s="43"/>
      <c r="CI6" s="42">
        <v>1538779</v>
      </c>
      <c r="CJ6" s="42">
        <v>17879344</v>
      </c>
      <c r="CK6" s="46">
        <v>1057316</v>
      </c>
      <c r="CL6" s="42">
        <v>0</v>
      </c>
      <c r="CM6" s="42">
        <v>2904680</v>
      </c>
      <c r="CN6" s="46">
        <v>139398</v>
      </c>
      <c r="CO6" s="95">
        <f t="shared" si="2"/>
        <v>21980738</v>
      </c>
      <c r="CP6" s="85">
        <v>511054451</v>
      </c>
      <c r="CQ6" s="45"/>
    </row>
    <row r="7" spans="1:110" s="6" customFormat="1" ht="17" customHeight="1">
      <c r="B7" s="40" t="s">
        <v>186</v>
      </c>
      <c r="C7" s="40"/>
      <c r="D7" s="3" t="s">
        <v>14</v>
      </c>
      <c r="E7" s="3" t="s">
        <v>15</v>
      </c>
      <c r="F7" s="3" t="s">
        <v>16</v>
      </c>
      <c r="G7" s="3" t="s">
        <v>17</v>
      </c>
      <c r="H7" s="48">
        <v>4</v>
      </c>
      <c r="I7" s="41">
        <v>4</v>
      </c>
      <c r="J7" s="3"/>
      <c r="K7" s="1" t="s">
        <v>187</v>
      </c>
      <c r="L7" s="1"/>
      <c r="M7" s="1" t="s">
        <v>188</v>
      </c>
      <c r="N7" s="1">
        <v>6</v>
      </c>
      <c r="O7" s="40">
        <v>160.13</v>
      </c>
      <c r="P7" s="40">
        <v>0</v>
      </c>
      <c r="Q7" s="40">
        <v>110</v>
      </c>
      <c r="R7" s="3">
        <v>0</v>
      </c>
      <c r="S7" s="3">
        <f t="shared" si="0"/>
        <v>270.13</v>
      </c>
      <c r="T7" s="42">
        <v>0</v>
      </c>
      <c r="U7" s="42">
        <v>0</v>
      </c>
      <c r="V7" s="42">
        <v>0</v>
      </c>
      <c r="W7" s="42">
        <v>0</v>
      </c>
      <c r="X7" s="42">
        <v>0</v>
      </c>
      <c r="Y7" s="42">
        <v>0</v>
      </c>
      <c r="Z7" s="68">
        <f t="shared" si="1"/>
        <v>0</v>
      </c>
      <c r="AA7" s="42">
        <v>0</v>
      </c>
      <c r="AB7" s="42">
        <v>0</v>
      </c>
      <c r="AC7" s="42">
        <v>52000</v>
      </c>
      <c r="AD7" s="42">
        <v>0</v>
      </c>
      <c r="AE7" s="42">
        <v>0</v>
      </c>
      <c r="AF7" s="42">
        <v>2080</v>
      </c>
      <c r="AG7" s="43"/>
      <c r="AH7" s="42">
        <v>0</v>
      </c>
      <c r="AI7" s="42">
        <v>0</v>
      </c>
      <c r="AJ7" s="42">
        <v>0</v>
      </c>
      <c r="AK7" s="42">
        <v>0</v>
      </c>
      <c r="AL7" s="42">
        <v>0</v>
      </c>
      <c r="AM7" s="43">
        <v>0</v>
      </c>
      <c r="AN7" s="42">
        <v>186212.6</v>
      </c>
      <c r="AO7" s="42">
        <v>437286.49</v>
      </c>
      <c r="AP7" s="42">
        <v>874460.93</v>
      </c>
      <c r="AQ7" s="42">
        <v>543608</v>
      </c>
      <c r="AR7" s="42">
        <v>1332715.7</v>
      </c>
      <c r="AS7" s="68">
        <v>3374283.72</v>
      </c>
      <c r="AT7" s="42">
        <v>0</v>
      </c>
      <c r="AU7" s="42">
        <v>1598378.09</v>
      </c>
      <c r="AV7" s="42">
        <v>0</v>
      </c>
      <c r="AW7" s="42">
        <v>0</v>
      </c>
      <c r="AX7" s="42">
        <v>128306.29</v>
      </c>
      <c r="AY7" s="68">
        <v>1726684.38</v>
      </c>
      <c r="AZ7" s="42">
        <v>0</v>
      </c>
      <c r="BA7" s="42">
        <v>0</v>
      </c>
      <c r="BB7" s="42">
        <v>0</v>
      </c>
      <c r="BC7" s="42">
        <v>0</v>
      </c>
      <c r="BD7" s="42">
        <v>0</v>
      </c>
      <c r="BE7" s="43">
        <v>0</v>
      </c>
      <c r="BF7" s="42">
        <v>0</v>
      </c>
      <c r="BG7" s="42">
        <v>631281.04</v>
      </c>
      <c r="BH7" s="42">
        <v>0</v>
      </c>
      <c r="BI7" s="42">
        <v>0</v>
      </c>
      <c r="BJ7" s="42">
        <v>122200</v>
      </c>
      <c r="BK7" s="68">
        <v>753481.04</v>
      </c>
      <c r="BL7" s="42">
        <v>0</v>
      </c>
      <c r="BM7" s="42">
        <v>0</v>
      </c>
      <c r="BN7" s="42">
        <v>943241.09</v>
      </c>
      <c r="BO7" s="42">
        <v>0</v>
      </c>
      <c r="BP7" s="42">
        <v>0</v>
      </c>
      <c r="BQ7" s="42">
        <v>95680</v>
      </c>
      <c r="BR7" s="43"/>
      <c r="BS7" s="42">
        <v>79566.27</v>
      </c>
      <c r="BT7" s="42">
        <v>98554.61</v>
      </c>
      <c r="BU7" s="42">
        <v>388900.85</v>
      </c>
      <c r="BV7" s="42">
        <v>94359.54</v>
      </c>
      <c r="BW7" s="42">
        <v>285389.45</v>
      </c>
      <c r="BX7" s="42">
        <v>906887.59</v>
      </c>
      <c r="BY7" s="68">
        <f t="shared" si="3"/>
        <v>1853658.31</v>
      </c>
      <c r="BZ7" s="44">
        <f>BY7/2/6</f>
        <v>154471.52583333335</v>
      </c>
      <c r="CA7" s="42">
        <v>389294.46</v>
      </c>
      <c r="CB7" s="42">
        <v>0</v>
      </c>
      <c r="CC7" s="42">
        <v>0</v>
      </c>
      <c r="CD7" s="42">
        <v>0</v>
      </c>
      <c r="CE7" s="42">
        <v>0</v>
      </c>
      <c r="CF7" s="42">
        <v>0</v>
      </c>
      <c r="CG7" s="42">
        <v>0</v>
      </c>
      <c r="CH7" s="43"/>
      <c r="CI7" s="42">
        <v>235680</v>
      </c>
      <c r="CJ7" s="42">
        <v>452519.43</v>
      </c>
      <c r="CK7" s="42">
        <v>98603.64</v>
      </c>
      <c r="CL7" s="42">
        <v>150610.95000000001</v>
      </c>
      <c r="CM7" s="42">
        <v>0</v>
      </c>
      <c r="CN7" s="42">
        <v>0</v>
      </c>
      <c r="CO7" s="43">
        <f t="shared" si="2"/>
        <v>701734.02</v>
      </c>
      <c r="CP7" s="85">
        <v>10127817.02</v>
      </c>
      <c r="CQ7" s="45" t="s">
        <v>76</v>
      </c>
    </row>
    <row r="8" spans="1:110" s="6" customFormat="1" ht="17" customHeight="1">
      <c r="B8" s="40"/>
      <c r="C8" s="40" t="s">
        <v>189</v>
      </c>
      <c r="D8" s="3" t="s">
        <v>18</v>
      </c>
      <c r="E8" s="3" t="s">
        <v>19</v>
      </c>
      <c r="F8" s="3" t="s">
        <v>20</v>
      </c>
      <c r="G8" s="3" t="s">
        <v>21</v>
      </c>
      <c r="H8" s="48">
        <v>4</v>
      </c>
      <c r="I8" s="41">
        <v>57.2</v>
      </c>
      <c r="J8" s="3" t="s">
        <v>190</v>
      </c>
      <c r="K8" s="1" t="s">
        <v>191</v>
      </c>
      <c r="L8" s="1"/>
      <c r="M8" s="1" t="s">
        <v>192</v>
      </c>
      <c r="N8" s="1">
        <v>16</v>
      </c>
      <c r="O8" s="40">
        <v>2100</v>
      </c>
      <c r="P8" s="40">
        <v>1536</v>
      </c>
      <c r="Q8" s="40">
        <v>1685</v>
      </c>
      <c r="R8" s="3">
        <v>0</v>
      </c>
      <c r="S8" s="3">
        <f t="shared" si="0"/>
        <v>5321</v>
      </c>
      <c r="T8" s="42">
        <v>0</v>
      </c>
      <c r="U8" s="42">
        <v>938206.25</v>
      </c>
      <c r="V8" s="42">
        <v>4897791.0199999996</v>
      </c>
      <c r="W8" s="42">
        <v>7393065.2400000002</v>
      </c>
      <c r="X8" s="42">
        <v>150113</v>
      </c>
      <c r="Y8" s="42">
        <v>7580706.5</v>
      </c>
      <c r="Z8" s="68">
        <f t="shared" si="1"/>
        <v>20959882.009999998</v>
      </c>
      <c r="AA8" s="42">
        <v>0</v>
      </c>
      <c r="AB8" s="42">
        <v>0</v>
      </c>
      <c r="AC8" s="42">
        <v>0</v>
      </c>
      <c r="AD8" s="42">
        <v>0</v>
      </c>
      <c r="AE8" s="42">
        <v>0</v>
      </c>
      <c r="AF8" s="42">
        <v>0</v>
      </c>
      <c r="AG8" s="43"/>
      <c r="AH8" s="42">
        <v>0</v>
      </c>
      <c r="AI8" s="42">
        <v>0</v>
      </c>
      <c r="AJ8" s="42">
        <v>0</v>
      </c>
      <c r="AK8" s="42">
        <v>0</v>
      </c>
      <c r="AL8" s="42">
        <v>0</v>
      </c>
      <c r="AM8" s="43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68">
        <v>0</v>
      </c>
      <c r="AT8" s="42">
        <v>4457805</v>
      </c>
      <c r="AU8" s="42">
        <v>37174849</v>
      </c>
      <c r="AV8" s="42">
        <v>10709201</v>
      </c>
      <c r="AW8" s="42">
        <v>150113</v>
      </c>
      <c r="AX8" s="42">
        <v>9006780</v>
      </c>
      <c r="AY8" s="68">
        <v>61498748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3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68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  <c r="BQ8" s="42">
        <v>0</v>
      </c>
      <c r="BR8" s="43"/>
      <c r="BS8" s="42">
        <v>0</v>
      </c>
      <c r="BT8" s="42">
        <v>1313489</v>
      </c>
      <c r="BU8" s="42">
        <v>1501130</v>
      </c>
      <c r="BV8" s="42">
        <v>2889675</v>
      </c>
      <c r="BW8" s="42">
        <v>90068</v>
      </c>
      <c r="BX8" s="42">
        <v>26024403</v>
      </c>
      <c r="BY8" s="68">
        <f t="shared" si="3"/>
        <v>31818765</v>
      </c>
      <c r="BZ8" s="44">
        <f>BY8/3.6/16</f>
        <v>552409.11458333337</v>
      </c>
      <c r="CA8" s="42">
        <v>0</v>
      </c>
      <c r="CB8" s="42">
        <v>0</v>
      </c>
      <c r="CC8" s="42">
        <v>375282.5</v>
      </c>
      <c r="CD8" s="42">
        <v>1439447.32</v>
      </c>
      <c r="CE8" s="42">
        <v>481583.4</v>
      </c>
      <c r="CF8" s="42">
        <v>0</v>
      </c>
      <c r="CG8" s="42">
        <v>1456531</v>
      </c>
      <c r="CH8" s="43"/>
      <c r="CI8" s="42">
        <v>660000</v>
      </c>
      <c r="CJ8" s="42">
        <v>10829623</v>
      </c>
      <c r="CK8" s="42">
        <v>3559841.77</v>
      </c>
      <c r="CL8" s="42">
        <v>0</v>
      </c>
      <c r="CM8" s="42">
        <v>0</v>
      </c>
      <c r="CN8" s="42">
        <v>0</v>
      </c>
      <c r="CO8" s="43">
        <f t="shared" si="2"/>
        <v>14389464.77</v>
      </c>
      <c r="CP8" s="85">
        <v>133079704</v>
      </c>
      <c r="CQ8" s="45" t="s">
        <v>81</v>
      </c>
    </row>
    <row r="9" spans="1:110" s="6" customFormat="1" ht="17" customHeight="1">
      <c r="B9" s="40"/>
      <c r="C9" s="40"/>
      <c r="D9" s="3" t="s">
        <v>22</v>
      </c>
      <c r="E9" s="3" t="s">
        <v>23</v>
      </c>
      <c r="F9" s="3" t="s">
        <v>24</v>
      </c>
      <c r="G9" s="3" t="s">
        <v>25</v>
      </c>
      <c r="H9" s="48">
        <v>3</v>
      </c>
      <c r="I9" s="41">
        <v>76</v>
      </c>
      <c r="J9" s="3" t="s">
        <v>193</v>
      </c>
      <c r="K9" s="1" t="s">
        <v>194</v>
      </c>
      <c r="L9" s="1"/>
      <c r="M9" s="1">
        <v>10</v>
      </c>
      <c r="N9" s="1">
        <v>10</v>
      </c>
      <c r="O9" s="40">
        <v>97.6</v>
      </c>
      <c r="P9" s="40">
        <v>800.44500000000005</v>
      </c>
      <c r="Q9" s="40">
        <v>0</v>
      </c>
      <c r="R9" s="3">
        <v>0</v>
      </c>
      <c r="S9" s="3">
        <f t="shared" si="0"/>
        <v>898.04500000000007</v>
      </c>
      <c r="T9" s="42">
        <v>0</v>
      </c>
      <c r="U9" s="42">
        <v>710095.46</v>
      </c>
      <c r="V9" s="42">
        <v>1988581.08</v>
      </c>
      <c r="W9" s="42">
        <v>4393783.29</v>
      </c>
      <c r="X9" s="42">
        <v>705546.04</v>
      </c>
      <c r="Y9" s="42">
        <v>7574019</v>
      </c>
      <c r="Z9" s="68">
        <f t="shared" si="1"/>
        <v>15372024.870000001</v>
      </c>
      <c r="AA9" s="42">
        <v>0</v>
      </c>
      <c r="AB9" s="42">
        <v>0</v>
      </c>
      <c r="AC9" s="42">
        <v>0</v>
      </c>
      <c r="AD9" s="42">
        <v>0</v>
      </c>
      <c r="AE9" s="42">
        <v>0</v>
      </c>
      <c r="AF9" s="42">
        <v>0</v>
      </c>
      <c r="AG9" s="43"/>
      <c r="AH9" s="42">
        <v>0</v>
      </c>
      <c r="AI9" s="42">
        <v>0</v>
      </c>
      <c r="AJ9" s="42">
        <v>0</v>
      </c>
      <c r="AK9" s="42">
        <v>0</v>
      </c>
      <c r="AL9" s="42">
        <v>0</v>
      </c>
      <c r="AM9" s="43">
        <v>0</v>
      </c>
      <c r="AN9" s="42">
        <v>305348.8</v>
      </c>
      <c r="AO9" s="42">
        <v>2650568.29</v>
      </c>
      <c r="AP9" s="42">
        <v>1642576.08</v>
      </c>
      <c r="AQ9" s="42">
        <v>0</v>
      </c>
      <c r="AR9" s="42">
        <v>1735721.75</v>
      </c>
      <c r="AS9" s="68">
        <v>6334214.9199999999</v>
      </c>
      <c r="AT9" s="42">
        <v>0</v>
      </c>
      <c r="AU9" s="42">
        <v>0</v>
      </c>
      <c r="AV9" s="42">
        <v>0</v>
      </c>
      <c r="AW9" s="42">
        <v>0</v>
      </c>
      <c r="AX9" s="42">
        <v>0</v>
      </c>
      <c r="AY9" s="68">
        <v>0</v>
      </c>
      <c r="AZ9" s="42">
        <v>0</v>
      </c>
      <c r="BA9" s="42">
        <v>0</v>
      </c>
      <c r="BB9" s="42">
        <v>0</v>
      </c>
      <c r="BC9" s="42">
        <v>0</v>
      </c>
      <c r="BD9" s="42">
        <v>0</v>
      </c>
      <c r="BE9" s="43">
        <v>0</v>
      </c>
      <c r="BF9" s="42">
        <v>0</v>
      </c>
      <c r="BG9" s="42">
        <v>0</v>
      </c>
      <c r="BH9" s="42">
        <v>0</v>
      </c>
      <c r="BI9" s="42">
        <v>0</v>
      </c>
      <c r="BJ9" s="42">
        <v>0</v>
      </c>
      <c r="BK9" s="68">
        <v>0</v>
      </c>
      <c r="BL9" s="42">
        <v>0</v>
      </c>
      <c r="BM9" s="42">
        <v>0</v>
      </c>
      <c r="BN9" s="42">
        <v>0</v>
      </c>
      <c r="BO9" s="42">
        <v>0</v>
      </c>
      <c r="BP9" s="42">
        <v>0</v>
      </c>
      <c r="BQ9" s="42">
        <v>0</v>
      </c>
      <c r="BR9" s="43"/>
      <c r="BS9" s="42"/>
      <c r="BT9" s="42"/>
      <c r="BU9" s="42"/>
      <c r="BV9" s="42"/>
      <c r="BW9" s="42"/>
      <c r="BX9" s="42"/>
      <c r="BY9" s="68"/>
      <c r="BZ9" s="44"/>
      <c r="CA9" s="42">
        <v>0</v>
      </c>
      <c r="CB9" s="42">
        <v>0</v>
      </c>
      <c r="CC9" s="42">
        <v>0</v>
      </c>
      <c r="CD9" s="42">
        <v>0</v>
      </c>
      <c r="CE9" s="42">
        <v>0</v>
      </c>
      <c r="CF9" s="42">
        <v>0</v>
      </c>
      <c r="CG9" s="42">
        <v>0</v>
      </c>
      <c r="CH9" s="43"/>
      <c r="CI9" s="42">
        <v>221665.41</v>
      </c>
      <c r="CJ9" s="42">
        <v>1342868.5</v>
      </c>
      <c r="CK9" s="42">
        <v>241884</v>
      </c>
      <c r="CL9" s="42">
        <v>166169.65</v>
      </c>
      <c r="CM9" s="42">
        <v>0</v>
      </c>
      <c r="CN9" s="42">
        <v>293109.49</v>
      </c>
      <c r="CO9" s="43">
        <f t="shared" si="2"/>
        <v>2044031.64</v>
      </c>
      <c r="CP9" s="85">
        <v>23971936.84</v>
      </c>
      <c r="CQ9" s="45" t="s">
        <v>92</v>
      </c>
    </row>
    <row r="10" spans="1:110" s="6" customFormat="1" ht="17" customHeight="1">
      <c r="B10" s="40"/>
      <c r="C10" s="40"/>
      <c r="D10" s="3" t="s">
        <v>26</v>
      </c>
      <c r="E10" s="3" t="s">
        <v>27</v>
      </c>
      <c r="F10" s="3" t="s">
        <v>28</v>
      </c>
      <c r="G10" s="3" t="s">
        <v>29</v>
      </c>
      <c r="H10" s="48">
        <v>4</v>
      </c>
      <c r="I10" s="41">
        <v>103</v>
      </c>
      <c r="J10" s="3"/>
      <c r="K10" s="1" t="s">
        <v>181</v>
      </c>
      <c r="L10" s="1"/>
      <c r="M10" s="1" t="s">
        <v>195</v>
      </c>
      <c r="N10" s="1">
        <v>20</v>
      </c>
      <c r="O10" s="40">
        <v>222</v>
      </c>
      <c r="P10" s="40">
        <v>2188</v>
      </c>
      <c r="Q10" s="40">
        <v>0</v>
      </c>
      <c r="R10" s="3">
        <v>0</v>
      </c>
      <c r="S10" s="3">
        <f t="shared" si="0"/>
        <v>2410</v>
      </c>
      <c r="T10" s="42" t="s">
        <v>196</v>
      </c>
      <c r="U10" s="42">
        <v>2223826.09</v>
      </c>
      <c r="V10" s="42">
        <v>5154742.1100000003</v>
      </c>
      <c r="W10" s="42">
        <v>1419959</v>
      </c>
      <c r="X10" s="42">
        <v>1985546.04</v>
      </c>
      <c r="Y10" s="42">
        <v>7605190.7599999998</v>
      </c>
      <c r="Z10" s="68">
        <f t="shared" si="1"/>
        <v>18389264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3"/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3">
        <v>0</v>
      </c>
      <c r="AN10" s="42">
        <v>328157.34000000003</v>
      </c>
      <c r="AO10" s="42">
        <v>291004.71000000002</v>
      </c>
      <c r="AP10" s="42">
        <v>94206.16</v>
      </c>
      <c r="AQ10" s="42">
        <v>1018184.71</v>
      </c>
      <c r="AR10" s="42">
        <v>1062504.08</v>
      </c>
      <c r="AS10" s="68">
        <v>2794057</v>
      </c>
      <c r="AT10" s="42">
        <v>2076298.58</v>
      </c>
      <c r="AU10" s="42">
        <v>9521963.7300000004</v>
      </c>
      <c r="AV10" s="42">
        <v>4717056.6900000004</v>
      </c>
      <c r="AW10" s="42">
        <v>0</v>
      </c>
      <c r="AX10" s="42">
        <v>0</v>
      </c>
      <c r="AY10" s="68">
        <v>16315319</v>
      </c>
      <c r="AZ10" s="42">
        <v>0</v>
      </c>
      <c r="BA10" s="42">
        <v>0</v>
      </c>
      <c r="BB10" s="42">
        <v>0</v>
      </c>
      <c r="BC10" s="42">
        <v>0</v>
      </c>
      <c r="BD10" s="42">
        <v>0</v>
      </c>
      <c r="BE10" s="43">
        <v>0</v>
      </c>
      <c r="BF10" s="42">
        <v>0</v>
      </c>
      <c r="BG10" s="42">
        <v>0</v>
      </c>
      <c r="BH10" s="42">
        <v>0</v>
      </c>
      <c r="BI10" s="42">
        <v>0</v>
      </c>
      <c r="BJ10" s="42">
        <v>0</v>
      </c>
      <c r="BK10" s="68">
        <v>0</v>
      </c>
      <c r="BL10" s="42">
        <v>0</v>
      </c>
      <c r="BM10" s="42">
        <v>0</v>
      </c>
      <c r="BN10" s="42">
        <v>0</v>
      </c>
      <c r="BO10" s="42">
        <v>0</v>
      </c>
      <c r="BP10" s="42">
        <v>0</v>
      </c>
      <c r="BQ10" s="42">
        <v>0</v>
      </c>
      <c r="BR10" s="43"/>
      <c r="BS10" s="42"/>
      <c r="BT10" s="42"/>
      <c r="BU10" s="42"/>
      <c r="BV10" s="42"/>
      <c r="BW10" s="42"/>
      <c r="BX10" s="42"/>
      <c r="BY10" s="68"/>
      <c r="BZ10" s="44"/>
      <c r="CA10" s="42">
        <v>0</v>
      </c>
      <c r="CB10" s="42">
        <v>0</v>
      </c>
      <c r="CC10" s="42">
        <v>0</v>
      </c>
      <c r="CD10" s="42">
        <v>0</v>
      </c>
      <c r="CE10" s="42">
        <v>0</v>
      </c>
      <c r="CF10" s="42">
        <v>0</v>
      </c>
      <c r="CG10" s="42">
        <v>0</v>
      </c>
      <c r="CH10" s="43"/>
      <c r="CI10" s="42">
        <v>343400</v>
      </c>
      <c r="CJ10" s="42">
        <v>4054707.46</v>
      </c>
      <c r="CK10" s="42">
        <v>1124959.54</v>
      </c>
      <c r="CL10" s="42">
        <v>0</v>
      </c>
      <c r="CM10" s="42">
        <v>0</v>
      </c>
      <c r="CN10" s="42">
        <v>0</v>
      </c>
      <c r="CO10" s="43">
        <f t="shared" si="2"/>
        <v>5179667</v>
      </c>
      <c r="CP10" s="85">
        <v>43021707</v>
      </c>
      <c r="CQ10" s="45" t="s">
        <v>82</v>
      </c>
    </row>
    <row r="11" spans="1:110" s="6" customFormat="1" ht="17" customHeight="1">
      <c r="B11" s="40"/>
      <c r="C11" s="40"/>
      <c r="D11" s="3" t="s">
        <v>26</v>
      </c>
      <c r="E11" s="3" t="s">
        <v>27</v>
      </c>
      <c r="F11" s="3" t="s">
        <v>30</v>
      </c>
      <c r="G11" s="3" t="s">
        <v>31</v>
      </c>
      <c r="H11" s="48">
        <v>3</v>
      </c>
      <c r="I11" s="41">
        <v>70</v>
      </c>
      <c r="J11" s="3"/>
      <c r="K11" s="1" t="s">
        <v>246</v>
      </c>
      <c r="L11" s="1"/>
      <c r="M11" s="1" t="s">
        <v>199</v>
      </c>
      <c r="N11" s="1"/>
      <c r="O11" s="40">
        <v>75</v>
      </c>
      <c r="P11" s="40">
        <v>600</v>
      </c>
      <c r="Q11" s="40">
        <v>550</v>
      </c>
      <c r="R11" s="3">
        <v>0</v>
      </c>
      <c r="S11" s="3">
        <f t="shared" si="0"/>
        <v>1225</v>
      </c>
      <c r="T11" s="42">
        <v>0</v>
      </c>
      <c r="U11" s="42">
        <v>1284995</v>
      </c>
      <c r="V11" s="42">
        <v>1819580</v>
      </c>
      <c r="W11" s="42">
        <v>670735</v>
      </c>
      <c r="X11" s="42">
        <v>0</v>
      </c>
      <c r="Y11" s="42">
        <v>2717167</v>
      </c>
      <c r="Z11" s="68">
        <f t="shared" si="1"/>
        <v>6492477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3"/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3">
        <v>0</v>
      </c>
      <c r="AN11" s="42">
        <v>1284995</v>
      </c>
      <c r="AO11" s="42">
        <v>1039658</v>
      </c>
      <c r="AP11" s="42">
        <v>329759</v>
      </c>
      <c r="AQ11" s="42">
        <v>553977</v>
      </c>
      <c r="AR11" s="42">
        <v>370984</v>
      </c>
      <c r="AS11" s="68">
        <v>3579373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68">
        <v>0</v>
      </c>
      <c r="AZ11" s="42">
        <v>0</v>
      </c>
      <c r="BA11" s="42">
        <v>0</v>
      </c>
      <c r="BB11" s="42">
        <v>0</v>
      </c>
      <c r="BC11" s="42">
        <v>0</v>
      </c>
      <c r="BD11" s="42">
        <v>0</v>
      </c>
      <c r="BE11" s="43">
        <v>0</v>
      </c>
      <c r="BF11" s="42">
        <v>0</v>
      </c>
      <c r="BG11" s="42">
        <v>0</v>
      </c>
      <c r="BH11" s="42">
        <v>0</v>
      </c>
      <c r="BI11" s="42">
        <v>0</v>
      </c>
      <c r="BJ11" s="42">
        <v>0</v>
      </c>
      <c r="BK11" s="68">
        <v>0</v>
      </c>
      <c r="BL11" s="42">
        <v>0</v>
      </c>
      <c r="BM11" s="42">
        <v>0</v>
      </c>
      <c r="BN11" s="42">
        <v>0</v>
      </c>
      <c r="BO11" s="42">
        <v>0</v>
      </c>
      <c r="BP11" s="42">
        <v>0</v>
      </c>
      <c r="BQ11" s="42">
        <v>0</v>
      </c>
      <c r="BR11" s="43"/>
      <c r="BS11" s="42"/>
      <c r="BT11" s="42"/>
      <c r="BU11" s="42"/>
      <c r="BV11" s="42"/>
      <c r="BW11" s="42"/>
      <c r="BX11" s="42"/>
      <c r="BY11" s="68"/>
      <c r="BZ11" s="44"/>
      <c r="CA11" s="42">
        <v>47643</v>
      </c>
      <c r="CB11" s="42">
        <v>0</v>
      </c>
      <c r="CC11" s="42">
        <v>0</v>
      </c>
      <c r="CD11" s="42">
        <v>0</v>
      </c>
      <c r="CE11" s="42">
        <v>0</v>
      </c>
      <c r="CF11" s="42">
        <v>0</v>
      </c>
      <c r="CG11" s="42">
        <v>0</v>
      </c>
      <c r="CH11" s="43"/>
      <c r="CI11" s="42">
        <v>28784</v>
      </c>
      <c r="CJ11" s="42">
        <v>686258</v>
      </c>
      <c r="CK11" s="42">
        <v>135485</v>
      </c>
      <c r="CL11" s="42">
        <v>0</v>
      </c>
      <c r="CM11" s="42">
        <v>69039</v>
      </c>
      <c r="CN11" s="42">
        <v>0</v>
      </c>
      <c r="CO11" s="43">
        <f t="shared" si="2"/>
        <v>890782</v>
      </c>
      <c r="CP11" s="85">
        <v>11039059</v>
      </c>
      <c r="CQ11" s="45" t="s">
        <v>83</v>
      </c>
    </row>
    <row r="12" spans="1:110" s="6" customFormat="1" ht="17" customHeight="1">
      <c r="B12" s="40"/>
      <c r="C12" s="40" t="s">
        <v>197</v>
      </c>
      <c r="D12" s="3" t="s">
        <v>32</v>
      </c>
      <c r="E12" s="3" t="s">
        <v>33</v>
      </c>
      <c r="F12" s="3" t="s">
        <v>34</v>
      </c>
      <c r="G12" s="3" t="s">
        <v>35</v>
      </c>
      <c r="H12" s="48">
        <v>3</v>
      </c>
      <c r="I12" s="41">
        <v>50.8</v>
      </c>
      <c r="J12" s="3"/>
      <c r="K12" s="1" t="s">
        <v>198</v>
      </c>
      <c r="L12" s="1">
        <v>6.79</v>
      </c>
      <c r="M12" s="1" t="s">
        <v>199</v>
      </c>
      <c r="N12" s="1">
        <v>10</v>
      </c>
      <c r="O12" s="40">
        <v>276.93</v>
      </c>
      <c r="P12" s="40">
        <f>613.7+118.49</f>
        <v>732.19</v>
      </c>
      <c r="Q12" s="40">
        <v>570.35</v>
      </c>
      <c r="R12" s="3">
        <v>316.7</v>
      </c>
      <c r="S12" s="3">
        <f t="shared" si="0"/>
        <v>1896.1700000000003</v>
      </c>
      <c r="T12" s="42">
        <v>25214</v>
      </c>
      <c r="U12" s="42">
        <v>650513</v>
      </c>
      <c r="V12" s="42">
        <v>2593104</v>
      </c>
      <c r="W12" s="42">
        <v>3532468</v>
      </c>
      <c r="X12" s="42">
        <v>1685328</v>
      </c>
      <c r="Y12" s="42">
        <v>3565080</v>
      </c>
      <c r="Z12" s="68">
        <f t="shared" si="1"/>
        <v>12051707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3"/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3">
        <v>0</v>
      </c>
      <c r="AN12" s="42">
        <v>1084035</v>
      </c>
      <c r="AO12" s="42">
        <v>1237809</v>
      </c>
      <c r="AP12" s="42">
        <v>338823</v>
      </c>
      <c r="AQ12" s="42">
        <v>718295</v>
      </c>
      <c r="AR12" s="42">
        <v>2027443</v>
      </c>
      <c r="AS12" s="68">
        <v>5406405</v>
      </c>
      <c r="AT12" s="42">
        <v>1151164</v>
      </c>
      <c r="AU12" s="42">
        <v>8462535</v>
      </c>
      <c r="AV12" s="42">
        <v>2351830</v>
      </c>
      <c r="AW12" s="42">
        <v>474779</v>
      </c>
      <c r="AX12" s="42">
        <v>2770425</v>
      </c>
      <c r="AY12" s="68">
        <v>15210733</v>
      </c>
      <c r="AZ12" s="42">
        <v>0</v>
      </c>
      <c r="BA12" s="42">
        <v>0</v>
      </c>
      <c r="BB12" s="42">
        <v>0</v>
      </c>
      <c r="BC12" s="42">
        <v>0</v>
      </c>
      <c r="BD12" s="42">
        <v>0</v>
      </c>
      <c r="BE12" s="43">
        <v>0</v>
      </c>
      <c r="BF12" s="42">
        <v>0</v>
      </c>
      <c r="BG12" s="42">
        <v>0</v>
      </c>
      <c r="BH12" s="42">
        <v>0</v>
      </c>
      <c r="BI12" s="42">
        <v>0</v>
      </c>
      <c r="BJ12" s="42">
        <v>0</v>
      </c>
      <c r="BK12" s="68">
        <v>0</v>
      </c>
      <c r="BL12" s="42">
        <v>0</v>
      </c>
      <c r="BM12" s="42">
        <v>0</v>
      </c>
      <c r="BN12" s="42">
        <v>0</v>
      </c>
      <c r="BO12" s="42">
        <v>0</v>
      </c>
      <c r="BP12" s="42">
        <v>0</v>
      </c>
      <c r="BQ12" s="42">
        <v>0</v>
      </c>
      <c r="BR12" s="43"/>
      <c r="BS12" s="42">
        <v>381058</v>
      </c>
      <c r="BT12" s="42">
        <v>845225</v>
      </c>
      <c r="BU12" s="42">
        <v>2028772</v>
      </c>
      <c r="BV12" s="42">
        <v>1589046</v>
      </c>
      <c r="BW12" s="42">
        <v>2984769</v>
      </c>
      <c r="BX12" s="42">
        <v>8239301</v>
      </c>
      <c r="BY12" s="68">
        <f t="shared" si="3"/>
        <v>16068171</v>
      </c>
      <c r="BZ12" s="44">
        <f>BY12/6.79/10</f>
        <v>236644.63917525773</v>
      </c>
      <c r="CA12" s="42">
        <v>372757</v>
      </c>
      <c r="CB12" s="42">
        <v>0</v>
      </c>
      <c r="CC12" s="42">
        <v>0</v>
      </c>
      <c r="CD12" s="42">
        <v>0</v>
      </c>
      <c r="CE12" s="42">
        <v>8853</v>
      </c>
      <c r="CF12" s="42">
        <v>29544</v>
      </c>
      <c r="CG12" s="42">
        <v>32028</v>
      </c>
      <c r="CH12" s="43"/>
      <c r="CI12" s="42">
        <v>636054</v>
      </c>
      <c r="CJ12" s="42">
        <v>3207170</v>
      </c>
      <c r="CK12" s="42">
        <v>442861</v>
      </c>
      <c r="CL12" s="42">
        <v>0</v>
      </c>
      <c r="CM12" s="42">
        <v>0</v>
      </c>
      <c r="CN12" s="42">
        <v>0</v>
      </c>
      <c r="CO12" s="43">
        <f t="shared" si="2"/>
        <v>3650031</v>
      </c>
      <c r="CP12" s="85">
        <v>53466283</v>
      </c>
      <c r="CQ12" s="45" t="s">
        <v>84</v>
      </c>
    </row>
    <row r="13" spans="1:110" s="6" customFormat="1" ht="17" customHeight="1">
      <c r="B13" s="40"/>
      <c r="C13" s="40" t="s">
        <v>200</v>
      </c>
      <c r="D13" s="3" t="s">
        <v>32</v>
      </c>
      <c r="E13" s="3" t="s">
        <v>33</v>
      </c>
      <c r="F13" s="3" t="s">
        <v>36</v>
      </c>
      <c r="G13" s="3" t="s">
        <v>37</v>
      </c>
      <c r="H13" s="48">
        <v>3</v>
      </c>
      <c r="I13" s="41">
        <v>62.9</v>
      </c>
      <c r="J13" s="3"/>
      <c r="K13" s="1" t="s">
        <v>201</v>
      </c>
      <c r="L13" s="1">
        <v>5</v>
      </c>
      <c r="M13" s="1" t="s">
        <v>199</v>
      </c>
      <c r="N13" s="1">
        <v>10</v>
      </c>
      <c r="O13" s="40">
        <v>334.78800000000001</v>
      </c>
      <c r="P13" s="40">
        <f>716.74+94.58</f>
        <v>811.32</v>
      </c>
      <c r="Q13" s="40">
        <v>598.69000000000005</v>
      </c>
      <c r="R13" s="3">
        <v>362.31</v>
      </c>
      <c r="S13" s="3">
        <f t="shared" si="0"/>
        <v>2107.1080000000002</v>
      </c>
      <c r="T13" s="42">
        <v>31136</v>
      </c>
      <c r="U13" s="42">
        <v>809743</v>
      </c>
      <c r="V13" s="42">
        <v>3940539</v>
      </c>
      <c r="W13" s="42">
        <v>4259778</v>
      </c>
      <c r="X13" s="42">
        <v>1643957</v>
      </c>
      <c r="Y13" s="42">
        <v>3987402</v>
      </c>
      <c r="Z13" s="68">
        <f t="shared" si="1"/>
        <v>14672555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3"/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3">
        <v>0</v>
      </c>
      <c r="AN13" s="42">
        <v>1332308</v>
      </c>
      <c r="AO13" s="42">
        <v>492275.5</v>
      </c>
      <c r="AP13" s="42">
        <v>323136</v>
      </c>
      <c r="AQ13" s="42">
        <v>773835</v>
      </c>
      <c r="AR13" s="42">
        <v>2675304</v>
      </c>
      <c r="AS13" s="68">
        <v>5596858.5</v>
      </c>
      <c r="AT13" s="42">
        <v>1343710</v>
      </c>
      <c r="AU13" s="42">
        <v>8380567</v>
      </c>
      <c r="AV13" s="42">
        <v>2162914</v>
      </c>
      <c r="AW13" s="42">
        <v>518284.88</v>
      </c>
      <c r="AX13" s="42">
        <v>3666252</v>
      </c>
      <c r="AY13" s="68">
        <v>16071727.880000001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3">
        <v>0</v>
      </c>
      <c r="BF13" s="42">
        <v>0</v>
      </c>
      <c r="BG13" s="42">
        <v>0</v>
      </c>
      <c r="BH13" s="42">
        <v>0</v>
      </c>
      <c r="BI13" s="42">
        <v>0</v>
      </c>
      <c r="BJ13" s="42">
        <v>0</v>
      </c>
      <c r="BK13" s="68">
        <v>0</v>
      </c>
      <c r="BL13" s="42">
        <v>0</v>
      </c>
      <c r="BM13" s="42">
        <v>0</v>
      </c>
      <c r="BN13" s="42">
        <v>0</v>
      </c>
      <c r="BO13" s="42">
        <v>0</v>
      </c>
      <c r="BP13" s="42">
        <v>0</v>
      </c>
      <c r="BQ13" s="42">
        <v>0</v>
      </c>
      <c r="BR13" s="43"/>
      <c r="BS13" s="42">
        <v>326974</v>
      </c>
      <c r="BT13" s="42">
        <v>985835</v>
      </c>
      <c r="BU13" s="42">
        <v>1811565</v>
      </c>
      <c r="BV13" s="42">
        <v>3186823.08</v>
      </c>
      <c r="BW13" s="42">
        <v>1652429.66</v>
      </c>
      <c r="BX13" s="42">
        <v>7910234.2000000002</v>
      </c>
      <c r="BY13" s="68">
        <f t="shared" si="3"/>
        <v>15873860.940000001</v>
      </c>
      <c r="BZ13" s="44">
        <f>BY13/L13/N13</f>
        <v>317477.21880000003</v>
      </c>
      <c r="CA13" s="42">
        <v>378947</v>
      </c>
      <c r="CB13" s="42">
        <v>0</v>
      </c>
      <c r="CC13" s="42">
        <v>0</v>
      </c>
      <c r="CD13" s="42">
        <v>0</v>
      </c>
      <c r="CE13" s="42">
        <v>27422</v>
      </c>
      <c r="CF13" s="42">
        <v>55287</v>
      </c>
      <c r="CG13" s="42">
        <v>58568</v>
      </c>
      <c r="CH13" s="43"/>
      <c r="CI13" s="42">
        <v>648997</v>
      </c>
      <c r="CJ13" s="42">
        <v>3315144</v>
      </c>
      <c r="CK13" s="42">
        <v>429836</v>
      </c>
      <c r="CL13" s="42">
        <v>0</v>
      </c>
      <c r="CM13" s="42">
        <v>0</v>
      </c>
      <c r="CN13" s="42">
        <v>0</v>
      </c>
      <c r="CO13" s="43">
        <f t="shared" si="2"/>
        <v>3744980</v>
      </c>
      <c r="CP13" s="85">
        <v>57129203.32</v>
      </c>
      <c r="CQ13" s="45" t="s">
        <v>85</v>
      </c>
    </row>
    <row r="14" spans="1:110" s="6" customFormat="1" ht="17" customHeight="1">
      <c r="B14" s="40"/>
      <c r="C14" s="40" t="s">
        <v>202</v>
      </c>
      <c r="D14" s="3" t="s">
        <v>32</v>
      </c>
      <c r="E14" s="3" t="s">
        <v>33</v>
      </c>
      <c r="F14" s="3" t="s">
        <v>38</v>
      </c>
      <c r="G14" s="3" t="s">
        <v>39</v>
      </c>
      <c r="H14" s="48">
        <v>3</v>
      </c>
      <c r="I14" s="41">
        <v>71.7</v>
      </c>
      <c r="J14" s="3"/>
      <c r="K14" s="1" t="s">
        <v>203</v>
      </c>
      <c r="L14" s="1">
        <v>4.3</v>
      </c>
      <c r="M14" s="1" t="s">
        <v>199</v>
      </c>
      <c r="N14" s="1">
        <v>10</v>
      </c>
      <c r="O14" s="40">
        <v>313.57</v>
      </c>
      <c r="P14" s="40">
        <f>708.66+95.83</f>
        <v>804.49</v>
      </c>
      <c r="Q14" s="40">
        <v>575.16</v>
      </c>
      <c r="R14" s="3">
        <v>366.18</v>
      </c>
      <c r="S14" s="3">
        <f t="shared" si="0"/>
        <v>2059.3999999999996</v>
      </c>
      <c r="T14" s="42">
        <v>30202.720000000001</v>
      </c>
      <c r="U14" s="42">
        <v>789755.62</v>
      </c>
      <c r="V14" s="42">
        <v>4074313</v>
      </c>
      <c r="W14" s="42">
        <v>4301088</v>
      </c>
      <c r="X14" s="42">
        <v>1747196.37</v>
      </c>
      <c r="Y14" s="42">
        <v>4012960</v>
      </c>
      <c r="Z14" s="68">
        <f t="shared" si="1"/>
        <v>14955515.710000001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3"/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3">
        <v>0</v>
      </c>
      <c r="AN14" s="42">
        <v>1297368.6100000001</v>
      </c>
      <c r="AO14" s="42">
        <v>478116</v>
      </c>
      <c r="AP14" s="42">
        <v>333629</v>
      </c>
      <c r="AQ14" s="42">
        <v>756846.7</v>
      </c>
      <c r="AR14" s="42">
        <v>1089563</v>
      </c>
      <c r="AS14" s="68">
        <v>3955523.31</v>
      </c>
      <c r="AT14" s="42">
        <v>1313689.78</v>
      </c>
      <c r="AU14" s="42">
        <v>8159294</v>
      </c>
      <c r="AV14" s="42">
        <v>2144646.37</v>
      </c>
      <c r="AW14" s="42">
        <v>510045.56</v>
      </c>
      <c r="AX14" s="42">
        <v>815869</v>
      </c>
      <c r="AY14" s="68">
        <v>12943544.710000001</v>
      </c>
      <c r="AZ14" s="42">
        <v>0</v>
      </c>
      <c r="BA14" s="42">
        <v>0</v>
      </c>
      <c r="BB14" s="42">
        <v>0</v>
      </c>
      <c r="BC14" s="42">
        <v>0</v>
      </c>
      <c r="BD14" s="42">
        <v>0</v>
      </c>
      <c r="BE14" s="43">
        <v>0</v>
      </c>
      <c r="BF14" s="42">
        <v>0</v>
      </c>
      <c r="BG14" s="42">
        <v>0</v>
      </c>
      <c r="BH14" s="42">
        <v>0</v>
      </c>
      <c r="BI14" s="42">
        <v>0</v>
      </c>
      <c r="BJ14" s="42">
        <v>0</v>
      </c>
      <c r="BK14" s="68">
        <v>0</v>
      </c>
      <c r="BL14" s="42">
        <v>0</v>
      </c>
      <c r="BM14" s="42">
        <v>0</v>
      </c>
      <c r="BN14" s="42">
        <v>0</v>
      </c>
      <c r="BO14" s="42">
        <v>0</v>
      </c>
      <c r="BP14" s="42">
        <v>0</v>
      </c>
      <c r="BQ14" s="42">
        <v>0</v>
      </c>
      <c r="BR14" s="43"/>
      <c r="BS14" s="42">
        <v>302012.82</v>
      </c>
      <c r="BT14" s="42">
        <v>964786.28</v>
      </c>
      <c r="BU14" s="42">
        <v>1590693</v>
      </c>
      <c r="BV14" s="42">
        <v>153397.07999999999</v>
      </c>
      <c r="BW14" s="42">
        <v>1572083.38</v>
      </c>
      <c r="BX14" s="42">
        <v>4929059</v>
      </c>
      <c r="BY14" s="68">
        <f t="shared" si="3"/>
        <v>9512031.5600000005</v>
      </c>
      <c r="BZ14" s="44">
        <f t="shared" ref="BZ14:BZ25" si="4">BY14/L14/N14</f>
        <v>221210.03627906978</v>
      </c>
      <c r="CA14" s="42">
        <v>379560</v>
      </c>
      <c r="CB14" s="42">
        <v>0</v>
      </c>
      <c r="CC14" s="42">
        <v>0</v>
      </c>
      <c r="CD14" s="42">
        <v>0</v>
      </c>
      <c r="CE14" s="42">
        <v>28368</v>
      </c>
      <c r="CF14" s="42">
        <v>37383</v>
      </c>
      <c r="CG14" s="42">
        <v>65789</v>
      </c>
      <c r="CH14" s="43"/>
      <c r="CI14" s="42">
        <v>736402</v>
      </c>
      <c r="CJ14" s="42">
        <v>3417617.03</v>
      </c>
      <c r="CK14" s="42">
        <v>429835.91</v>
      </c>
      <c r="CL14" s="42">
        <v>0</v>
      </c>
      <c r="CM14" s="42">
        <v>0</v>
      </c>
      <c r="CN14" s="42">
        <v>0</v>
      </c>
      <c r="CO14" s="43">
        <f t="shared" si="2"/>
        <v>3847452.94</v>
      </c>
      <c r="CP14" s="85">
        <v>46461570.229999997</v>
      </c>
      <c r="CQ14" s="45" t="s">
        <v>86</v>
      </c>
    </row>
    <row r="15" spans="1:110" s="6" customFormat="1" ht="17" customHeight="1">
      <c r="B15" s="40" t="s">
        <v>204</v>
      </c>
      <c r="C15" s="40" t="s">
        <v>205</v>
      </c>
      <c r="D15" s="3" t="s">
        <v>32</v>
      </c>
      <c r="E15" s="3" t="s">
        <v>33</v>
      </c>
      <c r="F15" s="3" t="s">
        <v>40</v>
      </c>
      <c r="G15" s="3" t="s">
        <v>41</v>
      </c>
      <c r="H15" s="48">
        <v>3</v>
      </c>
      <c r="I15" s="41">
        <v>70</v>
      </c>
      <c r="J15" s="3"/>
      <c r="K15" s="1" t="s">
        <v>206</v>
      </c>
      <c r="L15" s="1">
        <f>2.3+3.7</f>
        <v>6</v>
      </c>
      <c r="M15" s="1" t="s">
        <v>207</v>
      </c>
      <c r="N15" s="1">
        <v>8</v>
      </c>
      <c r="O15" s="40">
        <f>366.06*2</f>
        <v>732.12</v>
      </c>
      <c r="P15" s="40">
        <f>598.35+594.02</f>
        <v>1192.3699999999999</v>
      </c>
      <c r="Q15" s="40">
        <f>(689.34+58.58)*2</f>
        <v>1495.8400000000001</v>
      </c>
      <c r="R15" s="3">
        <f>409.4+407.1</f>
        <v>816.5</v>
      </c>
      <c r="S15" s="3">
        <f t="shared" si="0"/>
        <v>4236.83</v>
      </c>
      <c r="T15" s="42">
        <v>100000</v>
      </c>
      <c r="U15" s="42">
        <v>974630</v>
      </c>
      <c r="V15" s="42">
        <v>4978205</v>
      </c>
      <c r="W15" s="42">
        <v>7660495</v>
      </c>
      <c r="X15" s="42">
        <v>2785431</v>
      </c>
      <c r="Y15" s="42">
        <v>12320360</v>
      </c>
      <c r="Z15" s="68">
        <f t="shared" si="1"/>
        <v>28819121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3"/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3">
        <v>0</v>
      </c>
      <c r="AN15" s="42">
        <v>141548</v>
      </c>
      <c r="AO15" s="42">
        <v>722999</v>
      </c>
      <c r="AP15" s="42">
        <v>2306056</v>
      </c>
      <c r="AQ15" s="42">
        <v>711145</v>
      </c>
      <c r="AR15" s="42">
        <v>1525773</v>
      </c>
      <c r="AS15" s="68">
        <v>5407521</v>
      </c>
      <c r="AT15" s="42">
        <v>83842</v>
      </c>
      <c r="AU15" s="42">
        <v>9867031</v>
      </c>
      <c r="AV15" s="42">
        <v>2914194</v>
      </c>
      <c r="AW15" s="42">
        <v>108640</v>
      </c>
      <c r="AX15" s="42">
        <v>452734</v>
      </c>
      <c r="AY15" s="68">
        <v>13426441</v>
      </c>
      <c r="AZ15" s="42">
        <v>0</v>
      </c>
      <c r="BA15" s="42">
        <v>0</v>
      </c>
      <c r="BB15" s="42">
        <v>0</v>
      </c>
      <c r="BC15" s="42">
        <v>0</v>
      </c>
      <c r="BD15" s="42">
        <v>0</v>
      </c>
      <c r="BE15" s="43">
        <v>0</v>
      </c>
      <c r="BF15" s="42">
        <v>0</v>
      </c>
      <c r="BG15" s="42">
        <v>0</v>
      </c>
      <c r="BH15" s="42">
        <v>0</v>
      </c>
      <c r="BI15" s="42">
        <v>0</v>
      </c>
      <c r="BJ15" s="42">
        <v>0</v>
      </c>
      <c r="BK15" s="68">
        <v>0</v>
      </c>
      <c r="BL15" s="42">
        <v>0</v>
      </c>
      <c r="BM15" s="42">
        <v>0</v>
      </c>
      <c r="BN15" s="42">
        <v>0</v>
      </c>
      <c r="BO15" s="42">
        <v>0</v>
      </c>
      <c r="BP15" s="42">
        <v>0</v>
      </c>
      <c r="BQ15" s="42">
        <v>0</v>
      </c>
      <c r="BR15" s="43"/>
      <c r="BS15" s="42">
        <v>1100000</v>
      </c>
      <c r="BT15" s="42">
        <v>1069430</v>
      </c>
      <c r="BU15" s="42">
        <v>1904896</v>
      </c>
      <c r="BV15" s="42">
        <v>1338543</v>
      </c>
      <c r="BW15" s="42">
        <v>1041452</v>
      </c>
      <c r="BX15" s="42">
        <v>12002302</v>
      </c>
      <c r="BY15" s="68">
        <f t="shared" si="3"/>
        <v>18456623</v>
      </c>
      <c r="BZ15" s="44">
        <f t="shared" si="4"/>
        <v>384512.97916666669</v>
      </c>
      <c r="CA15" s="42">
        <v>815486</v>
      </c>
      <c r="CB15" s="42">
        <v>0</v>
      </c>
      <c r="CC15" s="42">
        <v>0</v>
      </c>
      <c r="CD15" s="42">
        <v>0</v>
      </c>
      <c r="CE15" s="42">
        <v>0</v>
      </c>
      <c r="CF15" s="42">
        <v>0</v>
      </c>
      <c r="CG15" s="42">
        <v>0</v>
      </c>
      <c r="CH15" s="43"/>
      <c r="CI15" s="42">
        <v>78600</v>
      </c>
      <c r="CJ15" s="42">
        <v>3793780</v>
      </c>
      <c r="CK15" s="42">
        <v>926100</v>
      </c>
      <c r="CL15" s="42">
        <v>100000</v>
      </c>
      <c r="CM15" s="42">
        <v>0</v>
      </c>
      <c r="CN15" s="42">
        <v>0</v>
      </c>
      <c r="CO15" s="43">
        <f t="shared" si="2"/>
        <v>4819880</v>
      </c>
      <c r="CP15" s="85">
        <v>71823672</v>
      </c>
      <c r="CQ15" s="45" t="s">
        <v>87</v>
      </c>
    </row>
    <row r="16" spans="1:110" s="6" customFormat="1" ht="17" customHeight="1">
      <c r="B16" s="40" t="s">
        <v>204</v>
      </c>
      <c r="C16" s="40" t="s">
        <v>208</v>
      </c>
      <c r="D16" s="3" t="s">
        <v>32</v>
      </c>
      <c r="E16" s="3" t="s">
        <v>33</v>
      </c>
      <c r="F16" s="3" t="s">
        <v>42</v>
      </c>
      <c r="G16" s="3" t="s">
        <v>43</v>
      </c>
      <c r="H16" s="48">
        <v>3</v>
      </c>
      <c r="I16" s="41">
        <v>70</v>
      </c>
      <c r="J16" s="3"/>
      <c r="K16" s="1" t="s">
        <v>209</v>
      </c>
      <c r="L16" s="1">
        <f>4.8+3.3</f>
        <v>8.1</v>
      </c>
      <c r="M16" s="1" t="s">
        <v>207</v>
      </c>
      <c r="N16" s="1">
        <v>8</v>
      </c>
      <c r="O16" s="40">
        <f>366.06*2</f>
        <v>732.12</v>
      </c>
      <c r="P16" s="40">
        <f>579.26+590.49</f>
        <v>1169.75</v>
      </c>
      <c r="Q16" s="40">
        <f>(689.34+58.58)*2</f>
        <v>1495.8400000000001</v>
      </c>
      <c r="R16" s="3">
        <f>386.4+388.7</f>
        <v>775.09999999999991</v>
      </c>
      <c r="S16" s="3">
        <f t="shared" si="0"/>
        <v>4172.8099999999995</v>
      </c>
      <c r="T16" s="42">
        <v>100000</v>
      </c>
      <c r="U16" s="42">
        <v>974712</v>
      </c>
      <c r="V16" s="42">
        <v>4936803</v>
      </c>
      <c r="W16" s="42">
        <v>7596785</v>
      </c>
      <c r="X16" s="42">
        <v>2785788</v>
      </c>
      <c r="Y16" s="42">
        <v>12355763</v>
      </c>
      <c r="Z16" s="68">
        <f t="shared" si="1"/>
        <v>28749851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3"/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3">
        <v>0</v>
      </c>
      <c r="AN16" s="42">
        <v>136604</v>
      </c>
      <c r="AO16" s="42">
        <v>691880</v>
      </c>
      <c r="AP16" s="42">
        <v>2258170</v>
      </c>
      <c r="AQ16" s="42">
        <v>711145</v>
      </c>
      <c r="AR16" s="42">
        <v>1533639</v>
      </c>
      <c r="AS16" s="68">
        <v>5331438</v>
      </c>
      <c r="AT16" s="42">
        <v>82664</v>
      </c>
      <c r="AU16" s="42">
        <v>9792151</v>
      </c>
      <c r="AV16" s="42">
        <v>2919757</v>
      </c>
      <c r="AW16" s="42">
        <v>108640</v>
      </c>
      <c r="AX16" s="42">
        <v>448633</v>
      </c>
      <c r="AY16" s="68">
        <v>13351845</v>
      </c>
      <c r="AZ16" s="42">
        <v>0</v>
      </c>
      <c r="BA16" s="42">
        <v>0</v>
      </c>
      <c r="BB16" s="42">
        <v>0</v>
      </c>
      <c r="BC16" s="42">
        <v>0</v>
      </c>
      <c r="BD16" s="42">
        <v>0</v>
      </c>
      <c r="BE16" s="43">
        <v>0</v>
      </c>
      <c r="BF16" s="42">
        <v>0</v>
      </c>
      <c r="BG16" s="42">
        <v>0</v>
      </c>
      <c r="BH16" s="42">
        <v>0</v>
      </c>
      <c r="BI16" s="42">
        <v>0</v>
      </c>
      <c r="BJ16" s="42">
        <v>0</v>
      </c>
      <c r="BK16" s="68">
        <v>0</v>
      </c>
      <c r="BL16" s="42">
        <v>0</v>
      </c>
      <c r="BM16" s="42">
        <v>0</v>
      </c>
      <c r="BN16" s="42">
        <v>0</v>
      </c>
      <c r="BO16" s="42">
        <v>0</v>
      </c>
      <c r="BP16" s="42">
        <v>0</v>
      </c>
      <c r="BQ16" s="42">
        <v>0</v>
      </c>
      <c r="BR16" s="43"/>
      <c r="BS16" s="42">
        <v>1100000</v>
      </c>
      <c r="BT16" s="42">
        <v>998447</v>
      </c>
      <c r="BU16" s="42">
        <v>2283873</v>
      </c>
      <c r="BV16" s="42">
        <v>1560830</v>
      </c>
      <c r="BW16" s="42">
        <v>1041452</v>
      </c>
      <c r="BX16" s="42">
        <v>12297645</v>
      </c>
      <c r="BY16" s="68">
        <f t="shared" si="3"/>
        <v>19282247</v>
      </c>
      <c r="BZ16" s="44">
        <f t="shared" si="4"/>
        <v>297565.5401234568</v>
      </c>
      <c r="CA16" s="42">
        <v>888290</v>
      </c>
      <c r="CB16" s="42">
        <v>0</v>
      </c>
      <c r="CC16" s="42">
        <v>0</v>
      </c>
      <c r="CD16" s="42">
        <v>0</v>
      </c>
      <c r="CE16" s="42">
        <v>0</v>
      </c>
      <c r="CF16" s="42">
        <v>0</v>
      </c>
      <c r="CG16" s="42">
        <v>0</v>
      </c>
      <c r="CH16" s="43"/>
      <c r="CI16" s="42">
        <v>86689</v>
      </c>
      <c r="CJ16" s="42">
        <v>3741281</v>
      </c>
      <c r="CK16" s="42">
        <v>919604</v>
      </c>
      <c r="CL16" s="42">
        <v>100000</v>
      </c>
      <c r="CM16" s="42">
        <v>0</v>
      </c>
      <c r="CN16" s="42">
        <v>0</v>
      </c>
      <c r="CO16" s="43">
        <f t="shared" si="2"/>
        <v>4760885</v>
      </c>
      <c r="CP16" s="85">
        <v>72451245</v>
      </c>
      <c r="CQ16" s="45" t="s">
        <v>88</v>
      </c>
    </row>
    <row r="17" spans="2:95" s="6" customFormat="1" ht="17" customHeight="1">
      <c r="B17" s="40" t="s">
        <v>204</v>
      </c>
      <c r="C17" s="40" t="s">
        <v>210</v>
      </c>
      <c r="D17" s="3" t="s">
        <v>32</v>
      </c>
      <c r="E17" s="3" t="s">
        <v>33</v>
      </c>
      <c r="F17" s="3" t="s">
        <v>44</v>
      </c>
      <c r="G17" s="3" t="s">
        <v>45</v>
      </c>
      <c r="H17" s="48">
        <v>3</v>
      </c>
      <c r="I17" s="41">
        <v>70</v>
      </c>
      <c r="J17" s="3"/>
      <c r="K17" s="1" t="s">
        <v>211</v>
      </c>
      <c r="L17" s="1">
        <f>4.3+3.8</f>
        <v>8.1</v>
      </c>
      <c r="M17" s="1" t="s">
        <v>207</v>
      </c>
      <c r="N17" s="1">
        <v>8</v>
      </c>
      <c r="O17" s="40">
        <f>366.06+377.28</f>
        <v>743.33999999999992</v>
      </c>
      <c r="P17" s="40">
        <f>587.63+650.24</f>
        <v>1237.8699999999999</v>
      </c>
      <c r="Q17" s="40">
        <f>493.14+51.28+471.71+60.82</f>
        <v>1076.9499999999998</v>
      </c>
      <c r="R17" s="3">
        <f>410.55+426.65</f>
        <v>837.2</v>
      </c>
      <c r="S17" s="3">
        <f t="shared" si="0"/>
        <v>3895.3599999999997</v>
      </c>
      <c r="T17" s="42">
        <v>100000</v>
      </c>
      <c r="U17" s="42">
        <v>919292</v>
      </c>
      <c r="V17" s="42">
        <v>4484293</v>
      </c>
      <c r="W17" s="42">
        <v>6900460</v>
      </c>
      <c r="X17" s="42">
        <v>2785788</v>
      </c>
      <c r="Y17" s="42">
        <v>12219093</v>
      </c>
      <c r="Z17" s="68">
        <f t="shared" si="1"/>
        <v>27408926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3"/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3">
        <v>0</v>
      </c>
      <c r="AN17" s="42">
        <v>151781</v>
      </c>
      <c r="AO17" s="42">
        <v>740158</v>
      </c>
      <c r="AP17" s="42">
        <v>2332460</v>
      </c>
      <c r="AQ17" s="42">
        <v>711145</v>
      </c>
      <c r="AR17" s="42">
        <v>1646778</v>
      </c>
      <c r="AS17" s="68">
        <v>5582322</v>
      </c>
      <c r="AT17" s="42">
        <v>85765</v>
      </c>
      <c r="AU17" s="42">
        <v>9788641</v>
      </c>
      <c r="AV17" s="42">
        <v>2914194</v>
      </c>
      <c r="AW17" s="42">
        <v>108640</v>
      </c>
      <c r="AX17" s="42">
        <v>480496</v>
      </c>
      <c r="AY17" s="68">
        <v>13377736</v>
      </c>
      <c r="AZ17" s="42">
        <v>0</v>
      </c>
      <c r="BA17" s="42">
        <v>0</v>
      </c>
      <c r="BB17" s="42">
        <v>0</v>
      </c>
      <c r="BC17" s="42">
        <v>0</v>
      </c>
      <c r="BD17" s="42">
        <v>0</v>
      </c>
      <c r="BE17" s="43">
        <v>0</v>
      </c>
      <c r="BF17" s="42">
        <v>0</v>
      </c>
      <c r="BG17" s="42">
        <v>0</v>
      </c>
      <c r="BH17" s="42">
        <v>0</v>
      </c>
      <c r="BI17" s="42">
        <v>0</v>
      </c>
      <c r="BJ17" s="42">
        <v>0</v>
      </c>
      <c r="BK17" s="68">
        <v>0</v>
      </c>
      <c r="BL17" s="42">
        <v>0</v>
      </c>
      <c r="BM17" s="42">
        <v>0</v>
      </c>
      <c r="BN17" s="42">
        <v>0</v>
      </c>
      <c r="BO17" s="42">
        <v>0</v>
      </c>
      <c r="BP17" s="42">
        <v>0</v>
      </c>
      <c r="BQ17" s="42">
        <v>0</v>
      </c>
      <c r="BR17" s="43"/>
      <c r="BS17" s="42">
        <v>1100000</v>
      </c>
      <c r="BT17" s="42">
        <v>1002959</v>
      </c>
      <c r="BU17" s="42">
        <v>2273689</v>
      </c>
      <c r="BV17" s="42">
        <v>1555229</v>
      </c>
      <c r="BW17" s="42">
        <v>1041452</v>
      </c>
      <c r="BX17" s="42">
        <v>12434012</v>
      </c>
      <c r="BY17" s="68">
        <f t="shared" si="3"/>
        <v>19407341</v>
      </c>
      <c r="BZ17" s="44">
        <f t="shared" si="4"/>
        <v>299496.00308641978</v>
      </c>
      <c r="CA17" s="42">
        <v>864995</v>
      </c>
      <c r="CB17" s="42">
        <v>0</v>
      </c>
      <c r="CC17" s="42">
        <v>0</v>
      </c>
      <c r="CD17" s="42">
        <v>0</v>
      </c>
      <c r="CE17" s="42">
        <v>0</v>
      </c>
      <c r="CF17" s="42">
        <v>0</v>
      </c>
      <c r="CG17" s="42">
        <v>0</v>
      </c>
      <c r="CH17" s="43"/>
      <c r="CI17" s="42">
        <v>84100</v>
      </c>
      <c r="CJ17" s="42">
        <v>3514290</v>
      </c>
      <c r="CK17" s="42">
        <v>848602</v>
      </c>
      <c r="CL17" s="42">
        <v>100000</v>
      </c>
      <c r="CM17" s="42">
        <v>0</v>
      </c>
      <c r="CN17" s="42">
        <v>0</v>
      </c>
      <c r="CO17" s="43">
        <f t="shared" si="2"/>
        <v>4462892</v>
      </c>
      <c r="CP17" s="85">
        <v>71188312</v>
      </c>
      <c r="CQ17" s="45" t="s">
        <v>89</v>
      </c>
    </row>
    <row r="18" spans="2:95" s="6" customFormat="1" ht="17" customHeight="1">
      <c r="B18" s="40"/>
      <c r="C18" s="40" t="s">
        <v>212</v>
      </c>
      <c r="D18" s="3" t="s">
        <v>32</v>
      </c>
      <c r="E18" s="3" t="s">
        <v>33</v>
      </c>
      <c r="F18" s="3" t="s">
        <v>46</v>
      </c>
      <c r="G18" s="3" t="s">
        <v>47</v>
      </c>
      <c r="H18" s="48">
        <v>3</v>
      </c>
      <c r="I18" s="41">
        <v>51.7</v>
      </c>
      <c r="J18" s="3"/>
      <c r="K18" s="1" t="s">
        <v>213</v>
      </c>
      <c r="L18" s="1">
        <v>3</v>
      </c>
      <c r="M18" s="1" t="s">
        <v>214</v>
      </c>
      <c r="N18" s="1">
        <v>14</v>
      </c>
      <c r="O18" s="40">
        <v>1082.9100000000001</v>
      </c>
      <c r="P18" s="40">
        <v>2300.6</v>
      </c>
      <c r="Q18" s="40">
        <v>0</v>
      </c>
      <c r="R18" s="3">
        <v>0</v>
      </c>
      <c r="S18" s="3">
        <f t="shared" si="0"/>
        <v>3383.51</v>
      </c>
      <c r="T18" s="42">
        <v>693600</v>
      </c>
      <c r="U18" s="42">
        <v>1317254.3999999999</v>
      </c>
      <c r="V18" s="42">
        <v>6058143.3600000003</v>
      </c>
      <c r="W18" s="42">
        <v>5986601.7599999998</v>
      </c>
      <c r="X18" s="42">
        <v>2584430.67</v>
      </c>
      <c r="Y18" s="42">
        <v>9924540.7200000007</v>
      </c>
      <c r="Z18" s="68">
        <f t="shared" si="1"/>
        <v>26564570.91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3"/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3">
        <v>0</v>
      </c>
      <c r="AN18" s="42">
        <v>1317254.3999999999</v>
      </c>
      <c r="AO18" s="42">
        <v>2304802.71</v>
      </c>
      <c r="AP18" s="42">
        <v>2229304.63</v>
      </c>
      <c r="AQ18" s="42">
        <v>3555665.67</v>
      </c>
      <c r="AR18" s="42">
        <v>2628396.64</v>
      </c>
      <c r="AS18" s="68">
        <v>12035424.050000001</v>
      </c>
      <c r="AT18" s="42">
        <v>1317254.3999999999</v>
      </c>
      <c r="AU18" s="42">
        <v>13569411.880000001</v>
      </c>
      <c r="AV18" s="42">
        <v>2974316.45</v>
      </c>
      <c r="AW18" s="42">
        <v>1089760</v>
      </c>
      <c r="AX18" s="42">
        <v>7975538.7800000003</v>
      </c>
      <c r="AY18" s="68">
        <v>26926281.510000002</v>
      </c>
      <c r="AZ18" s="42">
        <v>0</v>
      </c>
      <c r="BA18" s="42">
        <v>0</v>
      </c>
      <c r="BB18" s="42">
        <v>0</v>
      </c>
      <c r="BC18" s="42">
        <v>0</v>
      </c>
      <c r="BD18" s="42">
        <v>0</v>
      </c>
      <c r="BE18" s="43">
        <v>0</v>
      </c>
      <c r="BF18" s="42">
        <v>0</v>
      </c>
      <c r="BG18" s="42">
        <v>0</v>
      </c>
      <c r="BH18" s="42">
        <v>0</v>
      </c>
      <c r="BI18" s="42">
        <v>0</v>
      </c>
      <c r="BJ18" s="42">
        <v>0</v>
      </c>
      <c r="BK18" s="68">
        <v>0</v>
      </c>
      <c r="BL18" s="42">
        <v>0</v>
      </c>
      <c r="BM18" s="42">
        <v>0</v>
      </c>
      <c r="BN18" s="42">
        <v>0</v>
      </c>
      <c r="BO18" s="42">
        <v>0</v>
      </c>
      <c r="BP18" s="42">
        <v>0</v>
      </c>
      <c r="BQ18" s="42">
        <v>0</v>
      </c>
      <c r="BR18" s="43"/>
      <c r="BS18" s="42">
        <v>1015000</v>
      </c>
      <c r="BT18" s="42">
        <v>240960</v>
      </c>
      <c r="BU18" s="42">
        <v>2438497.61</v>
      </c>
      <c r="BV18" s="42">
        <v>1951732.61</v>
      </c>
      <c r="BW18" s="42">
        <v>2324948.14</v>
      </c>
      <c r="BX18" s="42">
        <v>12658516.640000001</v>
      </c>
      <c r="BY18" s="68">
        <f t="shared" si="3"/>
        <v>20629655</v>
      </c>
      <c r="BZ18" s="44">
        <f t="shared" si="4"/>
        <v>491182.26190476195</v>
      </c>
      <c r="CA18" s="42">
        <v>3891934.8</v>
      </c>
      <c r="CB18" s="42">
        <v>0</v>
      </c>
      <c r="CC18" s="42">
        <v>0</v>
      </c>
      <c r="CD18" s="42">
        <v>0</v>
      </c>
      <c r="CE18" s="42">
        <v>0</v>
      </c>
      <c r="CF18" s="42">
        <v>0</v>
      </c>
      <c r="CG18" s="42">
        <v>0</v>
      </c>
      <c r="CH18" s="43"/>
      <c r="CI18" s="42">
        <v>195414</v>
      </c>
      <c r="CJ18" s="42">
        <v>5683845.71</v>
      </c>
      <c r="CK18" s="42">
        <v>1778143.53</v>
      </c>
      <c r="CL18" s="42">
        <v>1420961.43</v>
      </c>
      <c r="CM18" s="42">
        <v>0</v>
      </c>
      <c r="CN18" s="42">
        <v>0</v>
      </c>
      <c r="CO18" s="43">
        <f t="shared" si="2"/>
        <v>8882950.6699999999</v>
      </c>
      <c r="CP18" s="85">
        <v>99126230.939999998</v>
      </c>
      <c r="CQ18" s="45" t="s">
        <v>90</v>
      </c>
    </row>
    <row r="19" spans="2:95" s="6" customFormat="1" ht="17" customHeight="1">
      <c r="B19" s="40"/>
      <c r="C19" s="40"/>
      <c r="D19" s="3" t="s">
        <v>48</v>
      </c>
      <c r="E19" s="3" t="s">
        <v>49</v>
      </c>
      <c r="F19" s="49" t="s">
        <v>50</v>
      </c>
      <c r="G19" s="49" t="s">
        <v>51</v>
      </c>
      <c r="H19" s="48">
        <v>6</v>
      </c>
      <c r="I19" s="41">
        <v>25</v>
      </c>
      <c r="J19" s="1"/>
      <c r="K19" s="1" t="s">
        <v>215</v>
      </c>
      <c r="L19" s="1">
        <v>1</v>
      </c>
      <c r="M19" s="1" t="s">
        <v>188</v>
      </c>
      <c r="N19" s="1">
        <v>6</v>
      </c>
      <c r="O19" s="40">
        <v>4512</v>
      </c>
      <c r="P19" s="40">
        <v>4225.2</v>
      </c>
      <c r="Q19" s="40">
        <v>0</v>
      </c>
      <c r="R19" s="3">
        <v>0</v>
      </c>
      <c r="S19" s="3">
        <f t="shared" si="0"/>
        <v>8737.2000000000007</v>
      </c>
      <c r="T19" s="42">
        <v>0</v>
      </c>
      <c r="U19" s="42">
        <v>3405551.3</v>
      </c>
      <c r="V19" s="42">
        <v>18448220.640000001</v>
      </c>
      <c r="W19" s="42">
        <v>21364608.379999999</v>
      </c>
      <c r="X19" s="42">
        <v>1098720</v>
      </c>
      <c r="Y19" s="42">
        <v>20568898.559999999</v>
      </c>
      <c r="Z19" s="68">
        <f t="shared" si="1"/>
        <v>64885998.879999995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3"/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3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68">
        <v>0</v>
      </c>
      <c r="AT19" s="42">
        <v>10403852.52</v>
      </c>
      <c r="AU19" s="42">
        <v>106999244.79000001</v>
      </c>
      <c r="AV19" s="42">
        <v>51621253.530000001</v>
      </c>
      <c r="AW19" s="42">
        <v>3544800</v>
      </c>
      <c r="AX19" s="42">
        <v>9838251.3599999994</v>
      </c>
      <c r="AY19" s="68">
        <v>182407402.19999999</v>
      </c>
      <c r="AZ19" s="42">
        <v>0</v>
      </c>
      <c r="BA19" s="42">
        <v>0</v>
      </c>
      <c r="BB19" s="42">
        <v>0</v>
      </c>
      <c r="BC19" s="42">
        <v>0</v>
      </c>
      <c r="BD19" s="42">
        <v>0</v>
      </c>
      <c r="BE19" s="43">
        <v>0</v>
      </c>
      <c r="BF19" s="42">
        <v>0</v>
      </c>
      <c r="BG19" s="42">
        <v>0</v>
      </c>
      <c r="BH19" s="42">
        <v>0</v>
      </c>
      <c r="BI19" s="42">
        <v>0</v>
      </c>
      <c r="BJ19" s="42">
        <v>0</v>
      </c>
      <c r="BK19" s="68">
        <v>0</v>
      </c>
      <c r="BL19" s="42">
        <v>0</v>
      </c>
      <c r="BM19" s="42">
        <v>0</v>
      </c>
      <c r="BN19" s="42">
        <v>0</v>
      </c>
      <c r="BO19" s="42">
        <v>0</v>
      </c>
      <c r="BP19" s="42">
        <v>0</v>
      </c>
      <c r="BQ19" s="42">
        <v>0</v>
      </c>
      <c r="BR19" s="43"/>
      <c r="BS19" s="42">
        <v>0</v>
      </c>
      <c r="BT19" s="42">
        <v>598306.42000000004</v>
      </c>
      <c r="BU19" s="42">
        <v>3437941.91</v>
      </c>
      <c r="BV19" s="42">
        <v>0</v>
      </c>
      <c r="BW19" s="42">
        <v>273840</v>
      </c>
      <c r="BX19" s="42">
        <v>6346024.6100000003</v>
      </c>
      <c r="BY19" s="68">
        <f t="shared" si="3"/>
        <v>10656112.940000001</v>
      </c>
      <c r="BZ19" s="44">
        <f t="shared" si="4"/>
        <v>1776018.8233333335</v>
      </c>
      <c r="CA19" s="42">
        <v>14934170</v>
      </c>
      <c r="CB19" s="42">
        <v>0</v>
      </c>
      <c r="CC19" s="42">
        <v>0</v>
      </c>
      <c r="CD19" s="42">
        <v>0</v>
      </c>
      <c r="CE19" s="42">
        <v>0</v>
      </c>
      <c r="CF19" s="42">
        <v>0</v>
      </c>
      <c r="CG19" s="42">
        <v>0</v>
      </c>
      <c r="CH19" s="43"/>
      <c r="CI19" s="42">
        <v>1714630.4</v>
      </c>
      <c r="CJ19" s="42">
        <v>18223385</v>
      </c>
      <c r="CK19" s="42">
        <v>10915347</v>
      </c>
      <c r="CL19" s="42">
        <v>0</v>
      </c>
      <c r="CM19" s="42">
        <v>0</v>
      </c>
      <c r="CN19" s="42">
        <v>0</v>
      </c>
      <c r="CO19" s="43">
        <f t="shared" si="2"/>
        <v>29138732</v>
      </c>
      <c r="CP19" s="85">
        <v>303737046.42000002</v>
      </c>
      <c r="CQ19" s="45" t="s">
        <v>91</v>
      </c>
    </row>
    <row r="20" spans="2:95" s="6" customFormat="1" ht="17" customHeight="1">
      <c r="B20" s="40"/>
      <c r="C20" s="40"/>
      <c r="D20" s="11" t="s">
        <v>52</v>
      </c>
      <c r="E20" s="11" t="s">
        <v>53</v>
      </c>
      <c r="F20" s="11" t="s">
        <v>54</v>
      </c>
      <c r="G20" s="11" t="s">
        <v>55</v>
      </c>
      <c r="H20" s="51">
        <v>3</v>
      </c>
      <c r="I20" s="51">
        <v>44</v>
      </c>
      <c r="J20" s="11" t="s">
        <v>216</v>
      </c>
      <c r="K20" s="10" t="s">
        <v>217</v>
      </c>
      <c r="L20" s="10">
        <f>5+5</f>
        <v>10</v>
      </c>
      <c r="M20" s="10" t="s">
        <v>218</v>
      </c>
      <c r="N20" s="10">
        <v>12</v>
      </c>
      <c r="O20" s="50">
        <f>308+226</f>
        <v>534</v>
      </c>
      <c r="P20" s="50">
        <f>478+489</f>
        <v>967</v>
      </c>
      <c r="Q20" s="50">
        <v>0</v>
      </c>
      <c r="R20" s="11">
        <v>0</v>
      </c>
      <c r="S20" s="11">
        <f t="shared" si="0"/>
        <v>1501</v>
      </c>
      <c r="T20" s="42">
        <v>265738.57</v>
      </c>
      <c r="U20" s="42">
        <v>1265030</v>
      </c>
      <c r="V20" s="42">
        <v>1808408.18</v>
      </c>
      <c r="W20" s="42">
        <v>1465038.78</v>
      </c>
      <c r="X20" s="42">
        <v>0</v>
      </c>
      <c r="Y20" s="42">
        <v>0</v>
      </c>
      <c r="Z20" s="68">
        <f t="shared" si="1"/>
        <v>4804215.53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3"/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3">
        <v>0</v>
      </c>
      <c r="AN20" s="42">
        <v>1208750.8899999999</v>
      </c>
      <c r="AO20" s="42">
        <v>8931790.5399999991</v>
      </c>
      <c r="AP20" s="42">
        <v>3746906.87</v>
      </c>
      <c r="AQ20" s="42">
        <v>1277280</v>
      </c>
      <c r="AR20" s="42">
        <v>7111317.6299999999</v>
      </c>
      <c r="AS20" s="68">
        <v>22276045.93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68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3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68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  <c r="BQ20" s="42">
        <v>0</v>
      </c>
      <c r="BR20" s="43"/>
      <c r="BS20" s="42">
        <v>0</v>
      </c>
      <c r="BT20" s="42">
        <v>416796.1</v>
      </c>
      <c r="BU20" s="42">
        <v>0</v>
      </c>
      <c r="BV20" s="42">
        <v>0</v>
      </c>
      <c r="BW20" s="42">
        <v>0</v>
      </c>
      <c r="BX20" s="42">
        <v>6141245.04</v>
      </c>
      <c r="BY20" s="68">
        <f t="shared" si="3"/>
        <v>6558041.1399999997</v>
      </c>
      <c r="BZ20" s="44">
        <f>BY20/(5+5*2)/N20</f>
        <v>36433.561888888886</v>
      </c>
      <c r="CA20" s="42">
        <v>925008.94</v>
      </c>
      <c r="CB20" s="42">
        <v>0</v>
      </c>
      <c r="CC20" s="42">
        <v>126502.99</v>
      </c>
      <c r="CD20" s="42">
        <v>7115985.3399999999</v>
      </c>
      <c r="CE20" s="42">
        <v>25664.99</v>
      </c>
      <c r="CF20" s="42">
        <v>0</v>
      </c>
      <c r="CG20" s="42">
        <v>2329130</v>
      </c>
      <c r="CH20" s="43"/>
      <c r="CI20" s="42">
        <v>194169.8</v>
      </c>
      <c r="CJ20" s="42">
        <v>1004228.67</v>
      </c>
      <c r="CK20" s="42">
        <v>461897.38</v>
      </c>
      <c r="CL20" s="42">
        <v>75697.440000000002</v>
      </c>
      <c r="CM20" s="42">
        <v>0</v>
      </c>
      <c r="CN20" s="42">
        <v>973522.08</v>
      </c>
      <c r="CO20" s="43">
        <f t="shared" si="2"/>
        <v>2515345.5699999998</v>
      </c>
      <c r="CP20" s="85">
        <v>46870110.229999997</v>
      </c>
      <c r="CQ20" s="45" t="s">
        <v>56</v>
      </c>
    </row>
    <row r="21" spans="2:95" s="6" customFormat="1" ht="17" customHeight="1">
      <c r="B21" s="40" t="s">
        <v>219</v>
      </c>
      <c r="C21" s="40"/>
      <c r="D21" s="3" t="s">
        <v>58</v>
      </c>
      <c r="E21" s="3" t="s">
        <v>59</v>
      </c>
      <c r="F21" s="3" t="s">
        <v>60</v>
      </c>
      <c r="G21" s="3" t="s">
        <v>61</v>
      </c>
      <c r="H21" s="48">
        <v>3</v>
      </c>
      <c r="I21" s="48">
        <v>28.1</v>
      </c>
      <c r="J21" s="1"/>
      <c r="K21" s="1" t="s">
        <v>220</v>
      </c>
      <c r="L21" s="1">
        <v>26</v>
      </c>
      <c r="M21" s="1" t="s">
        <v>221</v>
      </c>
      <c r="N21" s="1">
        <v>12.75</v>
      </c>
      <c r="O21" s="40">
        <v>134.69999999999999</v>
      </c>
      <c r="P21" s="40">
        <v>323</v>
      </c>
      <c r="Q21" s="40">
        <v>337.5</v>
      </c>
      <c r="R21" s="3">
        <v>91.7</v>
      </c>
      <c r="S21" s="3">
        <f t="shared" si="0"/>
        <v>886.90000000000009</v>
      </c>
      <c r="T21" s="42">
        <v>0</v>
      </c>
      <c r="U21" s="42">
        <v>572876</v>
      </c>
      <c r="V21" s="42">
        <v>1506637</v>
      </c>
      <c r="W21" s="42">
        <v>3381560</v>
      </c>
      <c r="X21" s="42">
        <v>224000</v>
      </c>
      <c r="Y21" s="42">
        <v>4541256</v>
      </c>
      <c r="Z21" s="68">
        <f t="shared" si="1"/>
        <v>10226329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3"/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3">
        <v>0</v>
      </c>
      <c r="AN21" s="42">
        <v>488006</v>
      </c>
      <c r="AO21" s="42">
        <v>4123965</v>
      </c>
      <c r="AP21" s="42">
        <v>1054376</v>
      </c>
      <c r="AQ21" s="42">
        <v>128000</v>
      </c>
      <c r="AR21" s="42">
        <v>3695967</v>
      </c>
      <c r="AS21" s="68">
        <v>9490314</v>
      </c>
      <c r="AT21" s="42">
        <v>222119</v>
      </c>
      <c r="AU21" s="42">
        <v>1102493</v>
      </c>
      <c r="AV21" s="42">
        <v>347051</v>
      </c>
      <c r="AW21" s="42">
        <v>0</v>
      </c>
      <c r="AX21" s="42">
        <v>2024522</v>
      </c>
      <c r="AY21" s="68">
        <v>3696185</v>
      </c>
      <c r="AZ21" s="42">
        <v>0</v>
      </c>
      <c r="BA21" s="42">
        <v>0</v>
      </c>
      <c r="BB21" s="42">
        <v>0</v>
      </c>
      <c r="BC21" s="42">
        <v>0</v>
      </c>
      <c r="BD21" s="42">
        <v>0</v>
      </c>
      <c r="BE21" s="43">
        <v>0</v>
      </c>
      <c r="BF21" s="42">
        <v>0</v>
      </c>
      <c r="BG21" s="42">
        <v>0</v>
      </c>
      <c r="BH21" s="42">
        <v>0</v>
      </c>
      <c r="BI21" s="42">
        <v>0</v>
      </c>
      <c r="BJ21" s="42">
        <v>0</v>
      </c>
      <c r="BK21" s="68">
        <v>0</v>
      </c>
      <c r="BL21" s="42">
        <v>0</v>
      </c>
      <c r="BM21" s="42">
        <v>0</v>
      </c>
      <c r="BN21" s="42">
        <v>0</v>
      </c>
      <c r="BO21" s="42">
        <v>0</v>
      </c>
      <c r="BP21" s="42">
        <v>0</v>
      </c>
      <c r="BQ21" s="42">
        <v>0</v>
      </c>
      <c r="BR21" s="43"/>
      <c r="BS21" s="42">
        <v>389610</v>
      </c>
      <c r="BT21" s="42">
        <v>317789</v>
      </c>
      <c r="BU21" s="42">
        <v>8558982</v>
      </c>
      <c r="BV21" s="42">
        <v>36550</v>
      </c>
      <c r="BW21" s="42">
        <v>346500</v>
      </c>
      <c r="BX21" s="42">
        <v>15992522</v>
      </c>
      <c r="BY21" s="68">
        <f t="shared" si="3"/>
        <v>25641953</v>
      </c>
      <c r="BZ21" s="44">
        <f t="shared" si="4"/>
        <v>77351.291101055802</v>
      </c>
      <c r="CA21" s="42">
        <v>0</v>
      </c>
      <c r="CB21" s="42">
        <v>0</v>
      </c>
      <c r="CC21" s="42">
        <v>0</v>
      </c>
      <c r="CD21" s="42">
        <v>0</v>
      </c>
      <c r="CE21" s="42">
        <v>0</v>
      </c>
      <c r="CF21" s="42">
        <v>0</v>
      </c>
      <c r="CG21" s="42">
        <v>0</v>
      </c>
      <c r="CH21" s="43"/>
      <c r="CI21" s="42">
        <v>2074548</v>
      </c>
      <c r="CJ21" s="42">
        <v>2877757</v>
      </c>
      <c r="CK21" s="42">
        <v>1030150</v>
      </c>
      <c r="CL21" s="42">
        <v>352878</v>
      </c>
      <c r="CM21" s="42">
        <v>0</v>
      </c>
      <c r="CN21" s="42">
        <v>447344</v>
      </c>
      <c r="CO21" s="43">
        <f t="shared" si="2"/>
        <v>4708129</v>
      </c>
      <c r="CP21" s="85">
        <v>55837458</v>
      </c>
      <c r="CQ21" s="16" t="s">
        <v>57</v>
      </c>
    </row>
    <row r="22" spans="2:95" s="6" customFormat="1" ht="17" customHeight="1">
      <c r="B22" s="40" t="s">
        <v>222</v>
      </c>
      <c r="C22" s="40"/>
      <c r="D22" s="3" t="s">
        <v>62</v>
      </c>
      <c r="E22" s="3" t="s">
        <v>63</v>
      </c>
      <c r="F22" s="3" t="s">
        <v>64</v>
      </c>
      <c r="G22" s="3" t="s">
        <v>65</v>
      </c>
      <c r="H22" s="48">
        <v>3</v>
      </c>
      <c r="I22" s="48">
        <v>91</v>
      </c>
      <c r="J22" s="1"/>
      <c r="K22" s="1" t="s">
        <v>223</v>
      </c>
      <c r="L22" s="1">
        <v>17</v>
      </c>
      <c r="M22" s="1" t="s">
        <v>207</v>
      </c>
      <c r="N22" s="1">
        <v>8</v>
      </c>
      <c r="O22" s="40">
        <f>414+204</f>
        <v>618</v>
      </c>
      <c r="P22" s="40">
        <f>1021+1001</f>
        <v>2022</v>
      </c>
      <c r="Q22" s="40">
        <f>617+600</f>
        <v>1217</v>
      </c>
      <c r="R22" s="3">
        <f>493+91</f>
        <v>584</v>
      </c>
      <c r="S22" s="3">
        <f t="shared" si="0"/>
        <v>4441</v>
      </c>
      <c r="T22" s="42">
        <v>0</v>
      </c>
      <c r="U22" s="42">
        <v>1012566</v>
      </c>
      <c r="V22" s="42">
        <v>7314276.4699999997</v>
      </c>
      <c r="W22" s="42">
        <v>16753882.539999999</v>
      </c>
      <c r="X22" s="42">
        <v>466800</v>
      </c>
      <c r="Y22" s="42">
        <v>12668000</v>
      </c>
      <c r="Z22" s="68">
        <f t="shared" si="1"/>
        <v>38215525.009999998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3"/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3">
        <v>0</v>
      </c>
      <c r="AN22" s="42">
        <v>866807</v>
      </c>
      <c r="AO22" s="42">
        <v>13812803</v>
      </c>
      <c r="AP22" s="42">
        <v>5851794.6900000004</v>
      </c>
      <c r="AQ22" s="42">
        <v>530800</v>
      </c>
      <c r="AR22" s="42">
        <v>16890671.539999999</v>
      </c>
      <c r="AS22" s="68">
        <v>37952876.229999997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68">
        <v>0</v>
      </c>
      <c r="AZ22" s="42">
        <v>0</v>
      </c>
      <c r="BA22" s="42">
        <v>0</v>
      </c>
      <c r="BB22" s="42">
        <v>0</v>
      </c>
      <c r="BC22" s="42">
        <v>0</v>
      </c>
      <c r="BD22" s="42">
        <v>0</v>
      </c>
      <c r="BE22" s="43">
        <v>0</v>
      </c>
      <c r="BF22" s="42">
        <v>28363045.690000001</v>
      </c>
      <c r="BG22" s="42">
        <v>0</v>
      </c>
      <c r="BH22" s="42">
        <v>1331840.6100000001</v>
      </c>
      <c r="BI22" s="42">
        <v>0</v>
      </c>
      <c r="BJ22" s="42">
        <v>0</v>
      </c>
      <c r="BK22" s="68">
        <v>29694886.300000001</v>
      </c>
      <c r="BL22" s="42">
        <v>0</v>
      </c>
      <c r="BM22" s="42">
        <v>0</v>
      </c>
      <c r="BN22" s="42">
        <v>0</v>
      </c>
      <c r="BO22" s="42">
        <v>0</v>
      </c>
      <c r="BP22" s="42">
        <v>0</v>
      </c>
      <c r="BQ22" s="42">
        <v>0</v>
      </c>
      <c r="BR22" s="43"/>
      <c r="BS22" s="42">
        <v>0</v>
      </c>
      <c r="BT22" s="42">
        <v>720466</v>
      </c>
      <c r="BU22" s="42">
        <v>4242221.92</v>
      </c>
      <c r="BV22" s="42">
        <v>0</v>
      </c>
      <c r="BW22" s="42">
        <v>732000</v>
      </c>
      <c r="BX22" s="42">
        <v>9314224.4000000004</v>
      </c>
      <c r="BY22" s="68">
        <f t="shared" si="3"/>
        <v>15008912.32</v>
      </c>
      <c r="BZ22" s="44">
        <f t="shared" si="4"/>
        <v>110359.64941176471</v>
      </c>
      <c r="CA22" s="42">
        <v>0</v>
      </c>
      <c r="CB22" s="42">
        <v>0</v>
      </c>
      <c r="CC22" s="42">
        <v>0</v>
      </c>
      <c r="CD22" s="42">
        <v>0</v>
      </c>
      <c r="CE22" s="42">
        <v>0</v>
      </c>
      <c r="CF22" s="42">
        <v>0</v>
      </c>
      <c r="CG22" s="42">
        <v>0</v>
      </c>
      <c r="CH22" s="43"/>
      <c r="CI22" s="42">
        <v>1271376.3400000001</v>
      </c>
      <c r="CJ22" s="42">
        <v>4772224.07</v>
      </c>
      <c r="CK22" s="42">
        <v>3305578.47</v>
      </c>
      <c r="CL22" s="42">
        <v>1080669.8899999999</v>
      </c>
      <c r="CM22" s="42">
        <v>0</v>
      </c>
      <c r="CN22" s="42">
        <v>3845675.91</v>
      </c>
      <c r="CO22" s="43">
        <f t="shared" si="2"/>
        <v>13004148.340000002</v>
      </c>
      <c r="CP22" s="85">
        <v>135147724.53999999</v>
      </c>
      <c r="CQ22" s="16" t="s">
        <v>66</v>
      </c>
    </row>
    <row r="23" spans="2:95" s="6" customFormat="1" ht="17" customHeight="1">
      <c r="B23" s="40" t="s">
        <v>224</v>
      </c>
      <c r="C23" s="40"/>
      <c r="D23" s="3" t="s">
        <v>62</v>
      </c>
      <c r="E23" s="3" t="s">
        <v>63</v>
      </c>
      <c r="F23" s="3" t="s">
        <v>67</v>
      </c>
      <c r="G23" s="3" t="s">
        <v>68</v>
      </c>
      <c r="H23" s="48">
        <v>1</v>
      </c>
      <c r="I23" s="48">
        <v>80</v>
      </c>
      <c r="J23" s="1"/>
      <c r="K23" s="1" t="s">
        <v>225</v>
      </c>
      <c r="L23" s="1">
        <f>1+2.8</f>
        <v>3.8</v>
      </c>
      <c r="M23" s="1" t="s">
        <v>226</v>
      </c>
      <c r="N23" s="1">
        <v>12</v>
      </c>
      <c r="O23" s="40">
        <v>650.46</v>
      </c>
      <c r="P23" s="40">
        <v>1451.5</v>
      </c>
      <c r="Q23" s="40">
        <v>1056</v>
      </c>
      <c r="R23" s="3"/>
      <c r="S23" s="3">
        <f t="shared" si="0"/>
        <v>3157.96</v>
      </c>
      <c r="T23" s="42">
        <v>0</v>
      </c>
      <c r="U23" s="42">
        <v>875596.94</v>
      </c>
      <c r="V23" s="42">
        <v>6232493.1500000004</v>
      </c>
      <c r="W23" s="42">
        <v>6477681.9400000004</v>
      </c>
      <c r="X23" s="42">
        <v>384036.14</v>
      </c>
      <c r="Y23" s="42">
        <v>13406859.869999999</v>
      </c>
      <c r="Z23" s="68">
        <f t="shared" si="1"/>
        <v>27376668.039999999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3"/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3">
        <v>0</v>
      </c>
      <c r="AN23" s="42">
        <v>306535.15000000002</v>
      </c>
      <c r="AO23" s="42">
        <v>1157631.2</v>
      </c>
      <c r="AP23" s="42">
        <v>3350780.28</v>
      </c>
      <c r="AQ23" s="42">
        <v>149433.20000000001</v>
      </c>
      <c r="AR23" s="42">
        <v>4692400.95</v>
      </c>
      <c r="AS23" s="68">
        <v>9656780.7799999993</v>
      </c>
      <c r="AT23" s="42">
        <v>118330.36</v>
      </c>
      <c r="AU23" s="42">
        <v>1246347.8700000001</v>
      </c>
      <c r="AV23" s="42">
        <v>0</v>
      </c>
      <c r="AW23" s="42">
        <v>0</v>
      </c>
      <c r="AX23" s="42">
        <v>2306447.23</v>
      </c>
      <c r="AY23" s="68">
        <v>3671125.46</v>
      </c>
      <c r="AZ23" s="42">
        <v>0</v>
      </c>
      <c r="BA23" s="42">
        <v>0</v>
      </c>
      <c r="BB23" s="42">
        <v>0</v>
      </c>
      <c r="BC23" s="42">
        <v>0</v>
      </c>
      <c r="BD23" s="42">
        <v>0</v>
      </c>
      <c r="BE23" s="43">
        <v>0</v>
      </c>
      <c r="BF23" s="42">
        <v>0</v>
      </c>
      <c r="BG23" s="42">
        <v>0</v>
      </c>
      <c r="BH23" s="42">
        <v>0</v>
      </c>
      <c r="BI23" s="42">
        <v>0</v>
      </c>
      <c r="BJ23" s="42">
        <v>0</v>
      </c>
      <c r="BK23" s="68">
        <v>0</v>
      </c>
      <c r="BL23" s="42">
        <v>0</v>
      </c>
      <c r="BM23" s="42">
        <v>379857.16</v>
      </c>
      <c r="BN23" s="42">
        <v>9368597.0399999991</v>
      </c>
      <c r="BO23" s="42">
        <v>659565.94999999995</v>
      </c>
      <c r="BP23" s="42">
        <v>36282.269999999997</v>
      </c>
      <c r="BQ23" s="42">
        <v>960265.38</v>
      </c>
      <c r="BR23" s="43"/>
      <c r="BS23" s="42">
        <v>0</v>
      </c>
      <c r="BT23" s="42">
        <v>592556.68000000005</v>
      </c>
      <c r="BU23" s="42">
        <v>2606571</v>
      </c>
      <c r="BV23" s="42">
        <v>0</v>
      </c>
      <c r="BW23" s="42">
        <v>0</v>
      </c>
      <c r="BX23" s="42">
        <v>15442067.470000001</v>
      </c>
      <c r="BY23" s="68">
        <f t="shared" si="3"/>
        <v>18641195.150000002</v>
      </c>
      <c r="BZ23" s="44">
        <f t="shared" si="4"/>
        <v>408798.13925438607</v>
      </c>
      <c r="CA23" s="42">
        <v>0</v>
      </c>
      <c r="CB23" s="42">
        <v>0</v>
      </c>
      <c r="CC23" s="42">
        <v>0</v>
      </c>
      <c r="CD23" s="42">
        <v>0</v>
      </c>
      <c r="CE23" s="42">
        <v>0</v>
      </c>
      <c r="CF23" s="42">
        <v>0</v>
      </c>
      <c r="CG23" s="42">
        <v>0</v>
      </c>
      <c r="CH23" s="43"/>
      <c r="CI23" s="42">
        <v>440000</v>
      </c>
      <c r="CJ23" s="42">
        <v>4580068.62</v>
      </c>
      <c r="CK23" s="42">
        <v>1519708.12</v>
      </c>
      <c r="CL23" s="42">
        <v>215000</v>
      </c>
      <c r="CM23" s="42">
        <v>0</v>
      </c>
      <c r="CN23" s="42">
        <v>0</v>
      </c>
      <c r="CO23" s="43">
        <f t="shared" si="2"/>
        <v>6314776.7400000002</v>
      </c>
      <c r="CP23" s="85">
        <v>77505113.969999999</v>
      </c>
      <c r="CQ23" s="52" t="s">
        <v>69</v>
      </c>
    </row>
    <row r="24" spans="2:95" s="6" customFormat="1" ht="17" customHeight="1">
      <c r="B24" s="40" t="s">
        <v>227</v>
      </c>
      <c r="C24" s="40"/>
      <c r="D24" s="3" t="s">
        <v>62</v>
      </c>
      <c r="E24" s="3" t="s">
        <v>63</v>
      </c>
      <c r="F24" s="3" t="s">
        <v>70</v>
      </c>
      <c r="G24" s="3" t="s">
        <v>71</v>
      </c>
      <c r="H24" s="48">
        <v>3</v>
      </c>
      <c r="I24" s="48">
        <v>95.5</v>
      </c>
      <c r="J24" s="1"/>
      <c r="K24" s="1" t="s">
        <v>228</v>
      </c>
      <c r="L24" s="1">
        <v>12.3</v>
      </c>
      <c r="M24" s="1" t="s">
        <v>226</v>
      </c>
      <c r="N24" s="1">
        <v>12</v>
      </c>
      <c r="O24" s="40">
        <v>425</v>
      </c>
      <c r="P24" s="40">
        <v>890</v>
      </c>
      <c r="Q24" s="40">
        <v>0</v>
      </c>
      <c r="R24" s="3">
        <v>0</v>
      </c>
      <c r="S24" s="3">
        <f t="shared" si="0"/>
        <v>1315</v>
      </c>
      <c r="T24" s="42">
        <v>0</v>
      </c>
      <c r="U24" s="42">
        <v>550908.84</v>
      </c>
      <c r="V24" s="42">
        <v>4014835.9</v>
      </c>
      <c r="W24" s="42">
        <v>8303724.0300000003</v>
      </c>
      <c r="X24" s="42">
        <v>549600</v>
      </c>
      <c r="Y24" s="42">
        <v>9983800</v>
      </c>
      <c r="Z24" s="68">
        <f t="shared" si="1"/>
        <v>23402868.77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3"/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3">
        <v>0</v>
      </c>
      <c r="AN24" s="42">
        <v>414438.47</v>
      </c>
      <c r="AO24" s="42">
        <v>9302539.4100000001</v>
      </c>
      <c r="AP24" s="42">
        <v>2130229.9300000002</v>
      </c>
      <c r="AQ24" s="42">
        <v>252400</v>
      </c>
      <c r="AR24" s="42">
        <v>13851450.779999999</v>
      </c>
      <c r="AS24" s="68">
        <v>25951058.59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68">
        <v>0</v>
      </c>
      <c r="AZ24" s="42">
        <v>0</v>
      </c>
      <c r="BA24" s="42">
        <v>0</v>
      </c>
      <c r="BB24" s="42">
        <v>0</v>
      </c>
      <c r="BC24" s="42">
        <v>0</v>
      </c>
      <c r="BD24" s="42">
        <v>0</v>
      </c>
      <c r="BE24" s="43">
        <v>0</v>
      </c>
      <c r="BF24" s="42">
        <v>0</v>
      </c>
      <c r="BG24" s="42">
        <v>0</v>
      </c>
      <c r="BH24" s="42">
        <v>0</v>
      </c>
      <c r="BI24" s="42">
        <v>0</v>
      </c>
      <c r="BJ24" s="42">
        <v>0</v>
      </c>
      <c r="BK24" s="68">
        <v>0</v>
      </c>
      <c r="BL24" s="42">
        <v>0</v>
      </c>
      <c r="BM24" s="42">
        <v>0</v>
      </c>
      <c r="BN24" s="42">
        <v>0</v>
      </c>
      <c r="BO24" s="42">
        <v>0</v>
      </c>
      <c r="BP24" s="42">
        <v>0</v>
      </c>
      <c r="BQ24" s="42">
        <v>0</v>
      </c>
      <c r="BR24" s="43"/>
      <c r="BS24" s="42">
        <v>598000</v>
      </c>
      <c r="BT24" s="42">
        <v>550942.98</v>
      </c>
      <c r="BU24" s="42">
        <v>6738087.8700000001</v>
      </c>
      <c r="BV24" s="42">
        <v>327338.64</v>
      </c>
      <c r="BW24" s="42">
        <v>473700</v>
      </c>
      <c r="BX24" s="42">
        <v>16099331.289999999</v>
      </c>
      <c r="BY24" s="68">
        <f t="shared" si="3"/>
        <v>24787400.779999997</v>
      </c>
      <c r="BZ24" s="44">
        <f t="shared" si="4"/>
        <v>167936.31964769645</v>
      </c>
      <c r="CA24" s="42">
        <v>0</v>
      </c>
      <c r="CB24" s="42">
        <v>0</v>
      </c>
      <c r="CC24" s="42">
        <v>0</v>
      </c>
      <c r="CD24" s="42">
        <v>0</v>
      </c>
      <c r="CE24" s="42">
        <v>0</v>
      </c>
      <c r="CF24" s="42">
        <v>0</v>
      </c>
      <c r="CG24" s="42">
        <v>0</v>
      </c>
      <c r="CH24" s="43"/>
      <c r="CI24" s="42">
        <v>732953.15</v>
      </c>
      <c r="CJ24" s="42">
        <v>4996585.0999999996</v>
      </c>
      <c r="CK24" s="42">
        <v>1873102.5</v>
      </c>
      <c r="CL24" s="42">
        <v>741413.28</v>
      </c>
      <c r="CM24" s="42">
        <v>0</v>
      </c>
      <c r="CN24" s="42">
        <v>1559912.48</v>
      </c>
      <c r="CO24" s="43">
        <f t="shared" si="2"/>
        <v>9171013.3599999994</v>
      </c>
      <c r="CP24" s="85">
        <v>84045294.650000006</v>
      </c>
      <c r="CQ24" s="45" t="s">
        <v>72</v>
      </c>
    </row>
    <row r="25" spans="2:95" s="6" customFormat="1" ht="17" customHeight="1">
      <c r="B25" s="40"/>
      <c r="C25" s="40"/>
      <c r="D25" s="3" t="s">
        <v>62</v>
      </c>
      <c r="E25" s="3" t="s">
        <v>63</v>
      </c>
      <c r="F25" s="3" t="s">
        <v>73</v>
      </c>
      <c r="G25" s="3" t="s">
        <v>74</v>
      </c>
      <c r="H25" s="48">
        <v>3</v>
      </c>
      <c r="I25" s="48">
        <v>80</v>
      </c>
      <c r="J25" s="1" t="s">
        <v>229</v>
      </c>
      <c r="K25" s="1" t="s">
        <v>230</v>
      </c>
      <c r="L25" s="1">
        <v>54</v>
      </c>
      <c r="M25" s="1" t="s">
        <v>214</v>
      </c>
      <c r="N25" s="1">
        <v>14</v>
      </c>
      <c r="O25" s="40">
        <f>603*2</f>
        <v>1206</v>
      </c>
      <c r="P25" s="40">
        <f>972*2</f>
        <v>1944</v>
      </c>
      <c r="Q25" s="40">
        <f>689+639</f>
        <v>1328</v>
      </c>
      <c r="R25" s="3">
        <v>0</v>
      </c>
      <c r="S25" s="3">
        <f t="shared" si="0"/>
        <v>4478</v>
      </c>
      <c r="T25" s="42">
        <v>0</v>
      </c>
      <c r="U25" s="42">
        <v>821620.8</v>
      </c>
      <c r="V25" s="42">
        <v>7617410</v>
      </c>
      <c r="W25" s="42">
        <v>16260819.710000001</v>
      </c>
      <c r="X25" s="42">
        <v>832000</v>
      </c>
      <c r="Y25" s="42">
        <v>14194150</v>
      </c>
      <c r="Z25" s="68">
        <f t="shared" si="1"/>
        <v>39726000.510000005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3"/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3">
        <v>0</v>
      </c>
      <c r="AN25" s="42">
        <v>547747.19999999995</v>
      </c>
      <c r="AO25" s="42">
        <v>25091657.129999999</v>
      </c>
      <c r="AP25" s="42">
        <v>5283000.84</v>
      </c>
      <c r="AQ25" s="42">
        <v>460800</v>
      </c>
      <c r="AR25" s="42">
        <v>15228192.16</v>
      </c>
      <c r="AS25" s="68">
        <v>46611397.329999998</v>
      </c>
      <c r="AT25" s="42">
        <v>0</v>
      </c>
      <c r="AU25" s="42">
        <v>2653733.67</v>
      </c>
      <c r="AV25" s="42">
        <v>278028.33</v>
      </c>
      <c r="AW25" s="42">
        <v>280000</v>
      </c>
      <c r="AX25" s="42">
        <v>5931894</v>
      </c>
      <c r="AY25" s="68">
        <v>9143656</v>
      </c>
      <c r="AZ25" s="42">
        <v>0</v>
      </c>
      <c r="BA25" s="42">
        <v>0</v>
      </c>
      <c r="BB25" s="42">
        <v>0</v>
      </c>
      <c r="BC25" s="42">
        <v>0</v>
      </c>
      <c r="BD25" s="42">
        <v>0</v>
      </c>
      <c r="BE25" s="43">
        <v>0</v>
      </c>
      <c r="BF25" s="42">
        <v>0</v>
      </c>
      <c r="BG25" s="42">
        <v>0</v>
      </c>
      <c r="BH25" s="42">
        <v>0</v>
      </c>
      <c r="BI25" s="42">
        <v>0</v>
      </c>
      <c r="BJ25" s="42">
        <v>0</v>
      </c>
      <c r="BK25" s="68">
        <v>0</v>
      </c>
      <c r="BL25" s="42">
        <v>0</v>
      </c>
      <c r="BM25" s="42">
        <v>0</v>
      </c>
      <c r="BN25" s="42">
        <v>0</v>
      </c>
      <c r="BO25" s="42">
        <v>0</v>
      </c>
      <c r="BP25" s="42">
        <v>0</v>
      </c>
      <c r="BQ25" s="42">
        <v>0</v>
      </c>
      <c r="BR25" s="43"/>
      <c r="BS25" s="42">
        <v>1498000</v>
      </c>
      <c r="BT25" s="42">
        <v>608300</v>
      </c>
      <c r="BU25" s="42">
        <v>31662508.52</v>
      </c>
      <c r="BV25" s="42">
        <v>427366.65</v>
      </c>
      <c r="BW25" s="42">
        <v>6884250</v>
      </c>
      <c r="BX25" s="42">
        <v>29085237.5</v>
      </c>
      <c r="BY25" s="68">
        <f t="shared" si="3"/>
        <v>70165662.669999987</v>
      </c>
      <c r="BZ25" s="44">
        <f t="shared" si="4"/>
        <v>92811.72310846558</v>
      </c>
      <c r="CA25" s="42">
        <v>0</v>
      </c>
      <c r="CB25" s="42">
        <v>0</v>
      </c>
      <c r="CC25" s="42">
        <v>0</v>
      </c>
      <c r="CD25" s="42">
        <v>0</v>
      </c>
      <c r="CE25" s="42">
        <v>0</v>
      </c>
      <c r="CF25" s="42">
        <v>0</v>
      </c>
      <c r="CG25" s="42">
        <v>0</v>
      </c>
      <c r="CH25" s="43"/>
      <c r="CI25" s="42">
        <v>1656467.17</v>
      </c>
      <c r="CJ25" s="42">
        <v>7216267.8399999999</v>
      </c>
      <c r="CK25" s="42">
        <v>3809874.48</v>
      </c>
      <c r="CL25" s="42">
        <v>1656467.35</v>
      </c>
      <c r="CM25" s="42">
        <v>0</v>
      </c>
      <c r="CN25" s="42">
        <v>2246699.7200000002</v>
      </c>
      <c r="CO25" s="43">
        <f t="shared" si="2"/>
        <v>14929309.390000001</v>
      </c>
      <c r="CP25" s="85">
        <v>182232493.06999999</v>
      </c>
      <c r="CQ25" s="45" t="s">
        <v>75</v>
      </c>
    </row>
    <row r="26" spans="2:95" s="6" customFormat="1" ht="17" customHeight="1">
      <c r="B26" s="3" t="s">
        <v>204</v>
      </c>
      <c r="C26" s="3" t="s">
        <v>231</v>
      </c>
      <c r="D26" s="3" t="s">
        <v>93</v>
      </c>
      <c r="E26" s="3" t="s">
        <v>94</v>
      </c>
      <c r="F26" s="3" t="s">
        <v>95</v>
      </c>
      <c r="G26" s="3" t="s">
        <v>96</v>
      </c>
      <c r="H26" s="48">
        <v>3</v>
      </c>
      <c r="I26" s="40"/>
      <c r="J26" s="3"/>
      <c r="K26" s="3"/>
      <c r="L26" s="3"/>
      <c r="M26" s="3"/>
      <c r="N26" s="3"/>
      <c r="O26" s="40">
        <v>450</v>
      </c>
      <c r="P26" s="40">
        <v>860</v>
      </c>
      <c r="Q26" s="40"/>
      <c r="R26" s="3"/>
      <c r="S26" s="3">
        <f t="shared" si="0"/>
        <v>1310</v>
      </c>
      <c r="T26" s="46">
        <v>0</v>
      </c>
      <c r="U26" s="42">
        <v>2986945</v>
      </c>
      <c r="V26" s="46">
        <v>5504201</v>
      </c>
      <c r="W26" s="46">
        <v>3367066</v>
      </c>
      <c r="X26" s="46">
        <v>1371263</v>
      </c>
      <c r="Y26" s="46">
        <v>5931471</v>
      </c>
      <c r="Z26" s="68">
        <f t="shared" si="1"/>
        <v>19160946</v>
      </c>
      <c r="AA26" s="46">
        <v>0</v>
      </c>
      <c r="AB26" s="46">
        <v>0</v>
      </c>
      <c r="AC26" s="46">
        <v>0</v>
      </c>
      <c r="AD26" s="46">
        <v>0</v>
      </c>
      <c r="AE26" s="46">
        <v>0</v>
      </c>
      <c r="AF26" s="46">
        <v>0</v>
      </c>
      <c r="AG26" s="47"/>
      <c r="AH26" s="46">
        <v>0</v>
      </c>
      <c r="AI26" s="46">
        <v>0</v>
      </c>
      <c r="AJ26" s="46">
        <v>0</v>
      </c>
      <c r="AK26" s="46">
        <v>0</v>
      </c>
      <c r="AL26" s="46">
        <v>0</v>
      </c>
      <c r="AM26" s="47">
        <v>0</v>
      </c>
      <c r="AN26" s="46">
        <v>8078767</v>
      </c>
      <c r="AO26" s="46">
        <v>8623277</v>
      </c>
      <c r="AP26" s="46">
        <v>2862039</v>
      </c>
      <c r="AQ26" s="46">
        <v>914175</v>
      </c>
      <c r="AR26" s="46">
        <v>4081709</v>
      </c>
      <c r="AS26" s="71">
        <f>SUM(AN26:AR26)-1</f>
        <v>24559966</v>
      </c>
      <c r="AT26" s="46">
        <v>725605</v>
      </c>
      <c r="AU26" s="46">
        <v>3621561</v>
      </c>
      <c r="AV26" s="46">
        <v>916589</v>
      </c>
      <c r="AW26" s="46">
        <v>621224</v>
      </c>
      <c r="AX26" s="46">
        <v>4863007</v>
      </c>
      <c r="AY26" s="71">
        <f>SUM(AT26:AX26)</f>
        <v>10747986</v>
      </c>
      <c r="AZ26" s="46">
        <v>0</v>
      </c>
      <c r="BA26" s="46">
        <v>0</v>
      </c>
      <c r="BB26" s="46">
        <v>0</v>
      </c>
      <c r="BC26" s="46">
        <v>0</v>
      </c>
      <c r="BD26" s="46">
        <v>0</v>
      </c>
      <c r="BE26" s="47">
        <v>0</v>
      </c>
      <c r="BF26" s="46">
        <v>0</v>
      </c>
      <c r="BG26" s="46">
        <v>0</v>
      </c>
      <c r="BH26" s="46">
        <v>0</v>
      </c>
      <c r="BI26" s="46">
        <v>0</v>
      </c>
      <c r="BJ26" s="46">
        <v>0</v>
      </c>
      <c r="BK26" s="71">
        <v>0</v>
      </c>
      <c r="BL26" s="46">
        <v>0</v>
      </c>
      <c r="BM26" s="46">
        <v>0</v>
      </c>
      <c r="BN26" s="46">
        <v>0</v>
      </c>
      <c r="BO26" s="46">
        <v>0</v>
      </c>
      <c r="BP26" s="46">
        <v>0</v>
      </c>
      <c r="BQ26" s="46">
        <v>0</v>
      </c>
      <c r="BR26" s="47"/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71">
        <v>0</v>
      </c>
      <c r="BZ26" s="44"/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7"/>
      <c r="CI26" s="46">
        <v>7800</v>
      </c>
      <c r="CJ26" s="46">
        <v>7242171</v>
      </c>
      <c r="CK26" s="46">
        <v>1634067</v>
      </c>
      <c r="CL26" s="46">
        <v>140683</v>
      </c>
      <c r="CM26" s="46">
        <v>0</v>
      </c>
      <c r="CN26" s="46">
        <v>822591</v>
      </c>
      <c r="CO26" s="95">
        <f t="shared" si="2"/>
        <v>9839512</v>
      </c>
      <c r="CP26" s="86">
        <f>SUM(U26:CN26)-AY26-AS26-1</f>
        <v>83477156</v>
      </c>
      <c r="CQ26" s="45" t="s">
        <v>97</v>
      </c>
    </row>
    <row r="27" spans="2:95" s="6" customFormat="1" ht="17" customHeight="1">
      <c r="B27" s="3" t="s">
        <v>204</v>
      </c>
      <c r="C27" s="3" t="s">
        <v>232</v>
      </c>
      <c r="D27" s="3" t="s">
        <v>93</v>
      </c>
      <c r="E27" s="3" t="s">
        <v>94</v>
      </c>
      <c r="F27" s="3" t="s">
        <v>98</v>
      </c>
      <c r="G27" s="3" t="s">
        <v>96</v>
      </c>
      <c r="H27" s="48">
        <v>3</v>
      </c>
      <c r="I27" s="40"/>
      <c r="J27" s="3"/>
      <c r="K27" s="3"/>
      <c r="L27" s="3"/>
      <c r="M27" s="3"/>
      <c r="N27" s="3"/>
      <c r="O27" s="40">
        <v>450</v>
      </c>
      <c r="P27" s="40">
        <v>860</v>
      </c>
      <c r="Q27" s="40"/>
      <c r="R27" s="3"/>
      <c r="S27" s="3">
        <f t="shared" si="0"/>
        <v>1310</v>
      </c>
      <c r="T27" s="46">
        <v>0</v>
      </c>
      <c r="U27" s="42">
        <v>2917172</v>
      </c>
      <c r="V27" s="46">
        <v>5493788</v>
      </c>
      <c r="W27" s="46">
        <v>3437705</v>
      </c>
      <c r="X27" s="46">
        <v>1371263</v>
      </c>
      <c r="Y27" s="46">
        <v>5931471</v>
      </c>
      <c r="Z27" s="68">
        <f t="shared" si="1"/>
        <v>19151399</v>
      </c>
      <c r="AA27" s="46">
        <v>0</v>
      </c>
      <c r="AB27" s="46">
        <v>0</v>
      </c>
      <c r="AC27" s="46">
        <v>0</v>
      </c>
      <c r="AD27" s="46">
        <v>0</v>
      </c>
      <c r="AE27" s="46">
        <v>0</v>
      </c>
      <c r="AF27" s="46">
        <v>0</v>
      </c>
      <c r="AG27" s="47"/>
      <c r="AH27" s="46">
        <v>0</v>
      </c>
      <c r="AI27" s="46">
        <v>0</v>
      </c>
      <c r="AJ27" s="46">
        <v>0</v>
      </c>
      <c r="AK27" s="46">
        <v>0</v>
      </c>
      <c r="AL27" s="46">
        <v>0</v>
      </c>
      <c r="AM27" s="47">
        <v>0</v>
      </c>
      <c r="AN27" s="46">
        <v>7963305</v>
      </c>
      <c r="AO27" s="46">
        <v>8872569</v>
      </c>
      <c r="AP27" s="46">
        <v>2909130</v>
      </c>
      <c r="AQ27" s="46">
        <v>949205</v>
      </c>
      <c r="AR27" s="46">
        <v>4081709</v>
      </c>
      <c r="AS27" s="71">
        <f>SUM(AN27:AR27)-1</f>
        <v>24775917</v>
      </c>
      <c r="AT27" s="46">
        <v>725605</v>
      </c>
      <c r="AU27" s="46">
        <v>3701561</v>
      </c>
      <c r="AV27" s="46">
        <v>916589</v>
      </c>
      <c r="AW27" s="46">
        <v>621224</v>
      </c>
      <c r="AX27" s="46">
        <v>4863007</v>
      </c>
      <c r="AY27" s="71">
        <f>SUM(AT27:AX27)</f>
        <v>10827986</v>
      </c>
      <c r="AZ27" s="46">
        <v>0</v>
      </c>
      <c r="BA27" s="46">
        <v>0</v>
      </c>
      <c r="BB27" s="46">
        <v>0</v>
      </c>
      <c r="BC27" s="46">
        <v>0</v>
      </c>
      <c r="BD27" s="46">
        <v>0</v>
      </c>
      <c r="BE27" s="47">
        <v>0</v>
      </c>
      <c r="BF27" s="46">
        <v>0</v>
      </c>
      <c r="BG27" s="46">
        <v>0</v>
      </c>
      <c r="BH27" s="46">
        <v>0</v>
      </c>
      <c r="BI27" s="46">
        <v>0</v>
      </c>
      <c r="BJ27" s="46">
        <v>0</v>
      </c>
      <c r="BK27" s="71">
        <v>0</v>
      </c>
      <c r="BL27" s="46">
        <v>0</v>
      </c>
      <c r="BM27" s="46">
        <v>0</v>
      </c>
      <c r="BN27" s="46">
        <v>0</v>
      </c>
      <c r="BO27" s="46">
        <v>0</v>
      </c>
      <c r="BP27" s="46">
        <v>0</v>
      </c>
      <c r="BQ27" s="46">
        <v>0</v>
      </c>
      <c r="BR27" s="47"/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71">
        <v>0</v>
      </c>
      <c r="BZ27" s="44"/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7"/>
      <c r="CI27" s="46">
        <v>7800</v>
      </c>
      <c r="CJ27" s="46">
        <v>7242171</v>
      </c>
      <c r="CK27" s="46">
        <v>1642659</v>
      </c>
      <c r="CL27" s="46">
        <v>151680</v>
      </c>
      <c r="CM27" s="46">
        <v>0</v>
      </c>
      <c r="CN27" s="46">
        <v>822591</v>
      </c>
      <c r="CO27" s="95">
        <f t="shared" si="2"/>
        <v>9859101</v>
      </c>
      <c r="CP27" s="85">
        <f>SUM(U27:CN27)-AY27-AS27-1</f>
        <v>83773602</v>
      </c>
      <c r="CQ27" s="45" t="s">
        <v>99</v>
      </c>
    </row>
    <row r="28" spans="2:95" s="6" customFormat="1" ht="29.5" customHeight="1">
      <c r="B28" s="3"/>
      <c r="C28" s="3" t="s">
        <v>233</v>
      </c>
      <c r="D28" s="3" t="s">
        <v>105</v>
      </c>
      <c r="E28" s="3" t="s">
        <v>106</v>
      </c>
      <c r="F28" s="54" t="s">
        <v>103</v>
      </c>
      <c r="G28" s="55" t="s">
        <v>102</v>
      </c>
      <c r="H28" s="48">
        <v>4</v>
      </c>
      <c r="I28" s="48">
        <v>22.92</v>
      </c>
      <c r="J28" s="54" t="s">
        <v>234</v>
      </c>
      <c r="K28" s="56">
        <v>9</v>
      </c>
      <c r="L28" s="54"/>
      <c r="M28" s="56" t="s">
        <v>199</v>
      </c>
      <c r="N28" s="56">
        <v>10</v>
      </c>
      <c r="O28" s="40">
        <v>640.79</v>
      </c>
      <c r="P28" s="40">
        <v>585.49</v>
      </c>
      <c r="Q28" s="40">
        <v>459.81</v>
      </c>
      <c r="R28" s="54"/>
      <c r="S28" s="54">
        <f t="shared" si="0"/>
        <v>1686.09</v>
      </c>
      <c r="T28" s="57">
        <v>0</v>
      </c>
      <c r="U28" s="58">
        <v>567032.40000000014</v>
      </c>
      <c r="V28" s="58">
        <v>2897136.7591106179</v>
      </c>
      <c r="W28" s="58">
        <v>5551485.1977492226</v>
      </c>
      <c r="X28" s="58">
        <v>72428.418977765454</v>
      </c>
      <c r="Y28" s="58">
        <v>2655068.861103815</v>
      </c>
      <c r="Z28" s="69">
        <f>SUM(U28:Y28)</f>
        <v>11743151.636941422</v>
      </c>
      <c r="AA28" s="57"/>
      <c r="AB28" s="57">
        <v>0</v>
      </c>
      <c r="AC28" s="57">
        <v>0</v>
      </c>
      <c r="AD28" s="57">
        <v>0</v>
      </c>
      <c r="AE28" s="57">
        <v>0</v>
      </c>
      <c r="AF28" s="57">
        <v>0</v>
      </c>
      <c r="AG28" s="47">
        <f>SUM(AB28:AF28)</f>
        <v>0</v>
      </c>
      <c r="AH28" s="57">
        <v>0</v>
      </c>
      <c r="AI28" s="57">
        <v>0</v>
      </c>
      <c r="AJ28" s="57">
        <v>0</v>
      </c>
      <c r="AK28" s="57">
        <v>0</v>
      </c>
      <c r="AL28" s="57">
        <v>0</v>
      </c>
      <c r="AM28" s="47">
        <f>SUM(AH28:AL28)</f>
        <v>0</v>
      </c>
      <c r="AN28" s="59">
        <v>648037.02857142861</v>
      </c>
      <c r="AO28" s="59">
        <v>1925787.395022793</v>
      </c>
      <c r="AP28" s="59">
        <v>5011710.2408371354</v>
      </c>
      <c r="AQ28" s="59">
        <v>48144.68487556983</v>
      </c>
      <c r="AR28" s="59">
        <v>2655068.861103815</v>
      </c>
      <c r="AS28" s="72">
        <f>SUM(AN28:AR28)</f>
        <v>10288748.210410742</v>
      </c>
      <c r="AT28" s="59">
        <v>607534.71428571432</v>
      </c>
      <c r="AU28" s="59">
        <v>17829178.68124434</v>
      </c>
      <c r="AV28" s="59">
        <v>1956590.4410798505</v>
      </c>
      <c r="AW28" s="59">
        <v>445729.46703110851</v>
      </c>
      <c r="AX28" s="59">
        <v>2655068.861103815</v>
      </c>
      <c r="AY28" s="72">
        <f>SUM(AT28:AX28)</f>
        <v>23494102.164744828</v>
      </c>
      <c r="AZ28" s="57"/>
      <c r="BA28" s="57"/>
      <c r="BB28" s="57"/>
      <c r="BC28" s="57"/>
      <c r="BD28" s="57"/>
      <c r="BE28" s="47">
        <f>SUM(AZ28:BD28)</f>
        <v>0</v>
      </c>
      <c r="BF28" s="57">
        <v>0</v>
      </c>
      <c r="BG28" s="57">
        <v>0</v>
      </c>
      <c r="BH28" s="57">
        <v>0</v>
      </c>
      <c r="BI28" s="57">
        <v>0</v>
      </c>
      <c r="BJ28" s="57">
        <v>0</v>
      </c>
      <c r="BK28" s="71">
        <f>SUM(BF28:BJ28)</f>
        <v>0</v>
      </c>
      <c r="BL28" s="57">
        <v>0</v>
      </c>
      <c r="BM28" s="57">
        <v>0</v>
      </c>
      <c r="BN28" s="57">
        <v>0</v>
      </c>
      <c r="BO28" s="57">
        <v>0</v>
      </c>
      <c r="BP28" s="57">
        <v>0</v>
      </c>
      <c r="BQ28" s="57">
        <v>0</v>
      </c>
      <c r="BR28" s="60">
        <f>SUM(BL28:BQ28)</f>
        <v>0</v>
      </c>
      <c r="BS28" s="57">
        <v>0</v>
      </c>
      <c r="BT28" s="59">
        <v>506278.93</v>
      </c>
      <c r="BU28" s="59">
        <v>9063187.6273325235</v>
      </c>
      <c r="BV28" s="59">
        <v>0</v>
      </c>
      <c r="BW28" s="59">
        <v>226579.69068331309</v>
      </c>
      <c r="BX28" s="59">
        <v>13075370.307612393</v>
      </c>
      <c r="BY28" s="69">
        <f t="shared" ref="BY28" si="5">SUM(BS28:BX28)</f>
        <v>22871416.555628229</v>
      </c>
      <c r="BZ28" s="44">
        <f>BY28/K28/10</f>
        <v>254126.85061809141</v>
      </c>
      <c r="CA28" s="59">
        <v>1345913.3062253746</v>
      </c>
      <c r="CB28" s="57"/>
      <c r="CC28" s="59">
        <v>506278.93</v>
      </c>
      <c r="CD28" s="59">
        <v>3456096</v>
      </c>
      <c r="CE28" s="59"/>
      <c r="CF28" s="59">
        <v>86402.4</v>
      </c>
      <c r="CG28" s="59">
        <v>3561146.4</v>
      </c>
      <c r="CH28" s="61">
        <f>SUM(CC28:CG28)</f>
        <v>7609923.7300000004</v>
      </c>
      <c r="CI28" s="59">
        <v>1117771.3999999999</v>
      </c>
      <c r="CJ28" s="59">
        <v>6295361.9100000001</v>
      </c>
      <c r="CK28" s="59">
        <v>1490361.87</v>
      </c>
      <c r="CL28" s="59">
        <v>96248.91</v>
      </c>
      <c r="CM28" s="59">
        <v>149664.54</v>
      </c>
      <c r="CN28" s="59">
        <v>118925.36</v>
      </c>
      <c r="CO28" s="61">
        <f t="shared" si="2"/>
        <v>8150562.5900000008</v>
      </c>
      <c r="CP28" s="87">
        <f>Z28+AS28+AY28+BY28+CA28+CH28+CI28+CO28</f>
        <v>86621589.593950599</v>
      </c>
      <c r="CQ28" s="45" t="s">
        <v>104</v>
      </c>
    </row>
    <row r="29" spans="2:95" s="6" customFormat="1" ht="32" customHeight="1">
      <c r="B29" s="3"/>
      <c r="C29" s="3"/>
      <c r="D29" s="3"/>
      <c r="E29" s="3"/>
      <c r="F29" s="3" t="s">
        <v>108</v>
      </c>
      <c r="G29" s="12" t="s">
        <v>111</v>
      </c>
      <c r="H29" s="48">
        <v>4</v>
      </c>
      <c r="I29" s="48">
        <v>41</v>
      </c>
      <c r="J29" s="3"/>
      <c r="K29" s="1">
        <v>28</v>
      </c>
      <c r="L29" s="3"/>
      <c r="M29" s="1">
        <v>18</v>
      </c>
      <c r="N29" s="1">
        <v>18</v>
      </c>
      <c r="O29" s="40">
        <v>900.61</v>
      </c>
      <c r="P29" s="40">
        <f>684.55+72</f>
        <v>756.55</v>
      </c>
      <c r="Q29" s="40">
        <v>79</v>
      </c>
      <c r="R29" s="3">
        <v>731.22</v>
      </c>
      <c r="S29" s="3">
        <f>SUM(O29:R29)</f>
        <v>2467.38</v>
      </c>
      <c r="T29" s="46">
        <v>0</v>
      </c>
      <c r="U29" s="62">
        <v>1020340</v>
      </c>
      <c r="V29" s="62">
        <v>3737810</v>
      </c>
      <c r="W29" s="62">
        <v>5691535</v>
      </c>
      <c r="X29" s="62">
        <v>700000</v>
      </c>
      <c r="Y29" s="62">
        <v>6803985</v>
      </c>
      <c r="Z29" s="70">
        <f>SUM(U29:Y29)</f>
        <v>17953670</v>
      </c>
      <c r="AA29" s="46">
        <v>0</v>
      </c>
      <c r="AB29" s="46">
        <v>0</v>
      </c>
      <c r="AC29" s="46">
        <v>0</v>
      </c>
      <c r="AD29" s="46">
        <v>0</v>
      </c>
      <c r="AE29" s="46">
        <v>0</v>
      </c>
      <c r="AF29" s="46">
        <v>0</v>
      </c>
      <c r="AG29" s="47">
        <f t="shared" ref="AG29:AG30" si="6">SUM(AB29:AF29)</f>
        <v>0</v>
      </c>
      <c r="AH29" s="46">
        <v>0</v>
      </c>
      <c r="AI29" s="46">
        <v>0</v>
      </c>
      <c r="AJ29" s="46">
        <v>0</v>
      </c>
      <c r="AK29" s="46">
        <v>0</v>
      </c>
      <c r="AL29" s="46">
        <v>0</v>
      </c>
      <c r="AM29" s="47">
        <f>SUM(AH29:AL29)</f>
        <v>0</v>
      </c>
      <c r="AN29" s="62">
        <v>597142</v>
      </c>
      <c r="AO29" s="62">
        <v>2718657</v>
      </c>
      <c r="AP29" s="62">
        <v>1100000</v>
      </c>
      <c r="AQ29" s="62">
        <v>217000</v>
      </c>
      <c r="AR29" s="62">
        <v>6078799</v>
      </c>
      <c r="AS29" s="70">
        <f>SUM(AN29:AR29)</f>
        <v>10711598</v>
      </c>
      <c r="AT29" s="46">
        <v>0</v>
      </c>
      <c r="AU29" s="46">
        <v>0</v>
      </c>
      <c r="AV29" s="46">
        <v>0</v>
      </c>
      <c r="AW29" s="46">
        <v>0</v>
      </c>
      <c r="AX29" s="46">
        <v>0</v>
      </c>
      <c r="AY29" s="72">
        <f>SUM(AT29:AX29)</f>
        <v>0</v>
      </c>
      <c r="AZ29" s="46">
        <v>0</v>
      </c>
      <c r="BA29" s="46">
        <v>0</v>
      </c>
      <c r="BB29" s="46">
        <v>0</v>
      </c>
      <c r="BC29" s="46">
        <v>0</v>
      </c>
      <c r="BD29" s="46">
        <v>0</v>
      </c>
      <c r="BE29" s="47">
        <f t="shared" ref="BE29:BE30" si="7">SUM(AZ29:BD29)</f>
        <v>0</v>
      </c>
      <c r="BF29" s="46">
        <v>0</v>
      </c>
      <c r="BG29" s="46">
        <v>0</v>
      </c>
      <c r="BH29" s="46">
        <v>0</v>
      </c>
      <c r="BI29" s="46">
        <v>0</v>
      </c>
      <c r="BJ29" s="46">
        <v>0</v>
      </c>
      <c r="BK29" s="71">
        <f t="shared" ref="BK29:BK30" si="8">SUM(BF29:BJ29)</f>
        <v>0</v>
      </c>
      <c r="BL29" s="46">
        <v>0</v>
      </c>
      <c r="BM29" s="62">
        <v>2574106</v>
      </c>
      <c r="BN29" s="62">
        <v>20115182</v>
      </c>
      <c r="BO29" s="62">
        <v>10294900</v>
      </c>
      <c r="BP29" s="62">
        <v>462000</v>
      </c>
      <c r="BQ29" s="62">
        <v>11113858</v>
      </c>
      <c r="BR29" s="60">
        <f>SUM(BL29:BQ29)</f>
        <v>44560046</v>
      </c>
      <c r="BS29" s="62">
        <v>0</v>
      </c>
      <c r="BT29" s="62">
        <v>1445068</v>
      </c>
      <c r="BU29" s="62">
        <v>18500311</v>
      </c>
      <c r="BV29" s="62">
        <v>0</v>
      </c>
      <c r="BW29" s="62">
        <v>1021000</v>
      </c>
      <c r="BX29" s="62">
        <v>25858772</v>
      </c>
      <c r="BY29" s="73">
        <f>SUM(BT29:BX29)</f>
        <v>46825151</v>
      </c>
      <c r="BZ29" s="44">
        <f>BY29/28/18</f>
        <v>92907.045634920636</v>
      </c>
      <c r="CA29" s="62">
        <v>7621361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61">
        <f t="shared" ref="CH29:CH30" si="9">SUM(CC29:CG29)</f>
        <v>0</v>
      </c>
      <c r="CI29" s="62">
        <v>3817552</v>
      </c>
      <c r="CJ29" s="62">
        <v>11289629</v>
      </c>
      <c r="CK29" s="62">
        <v>1276718</v>
      </c>
      <c r="CL29" s="62">
        <v>0</v>
      </c>
      <c r="CM29" s="62">
        <v>0</v>
      </c>
      <c r="CN29" s="62">
        <v>0</v>
      </c>
      <c r="CO29" s="61">
        <f t="shared" si="2"/>
        <v>12566347</v>
      </c>
      <c r="CP29" s="87">
        <f>Z29+AS29+AY29+BR29+BY29+CA29+CH29+CI29+CO29</f>
        <v>144055725</v>
      </c>
      <c r="CQ29" s="45" t="s">
        <v>107</v>
      </c>
    </row>
    <row r="30" spans="2:95" s="6" customFormat="1" ht="17" customHeight="1">
      <c r="B30" s="3"/>
      <c r="C30" s="3"/>
      <c r="D30" s="3"/>
      <c r="E30" s="3"/>
      <c r="F30" s="3" t="s">
        <v>108</v>
      </c>
      <c r="G30" s="3" t="s">
        <v>109</v>
      </c>
      <c r="H30" s="48">
        <v>6</v>
      </c>
      <c r="I30" s="48">
        <v>71.900000000000006</v>
      </c>
      <c r="J30" s="3"/>
      <c r="K30" s="1"/>
      <c r="L30" s="3"/>
      <c r="M30" s="1"/>
      <c r="N30" s="1"/>
      <c r="O30" s="40">
        <v>5957</v>
      </c>
      <c r="P30" s="40">
        <v>5383</v>
      </c>
      <c r="Q30" s="40"/>
      <c r="R30" s="3"/>
      <c r="S30" s="3">
        <f>SUM(O30:R30)</f>
        <v>11340</v>
      </c>
      <c r="T30" s="46">
        <v>0</v>
      </c>
      <c r="U30" s="63">
        <v>1241549</v>
      </c>
      <c r="V30" s="63">
        <f>20539301+3935328</f>
        <v>24474629</v>
      </c>
      <c r="W30" s="63">
        <v>24655057</v>
      </c>
      <c r="X30" s="63">
        <v>34032787.700000003</v>
      </c>
      <c r="Y30" s="63">
        <v>48076387</v>
      </c>
      <c r="Z30" s="70">
        <f>SUM(U30:Y30)</f>
        <v>132480409.7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47">
        <f t="shared" si="6"/>
        <v>0</v>
      </c>
      <c r="AH30" s="46">
        <v>0</v>
      </c>
      <c r="AI30" s="46">
        <v>0</v>
      </c>
      <c r="AJ30" s="46">
        <v>0</v>
      </c>
      <c r="AK30" s="46">
        <v>0</v>
      </c>
      <c r="AL30" s="46">
        <v>0</v>
      </c>
      <c r="AM30" s="47">
        <f>SUM(AH30:AL30)</f>
        <v>0</v>
      </c>
      <c r="AN30" s="46">
        <v>0</v>
      </c>
      <c r="AO30" s="46">
        <v>0</v>
      </c>
      <c r="AP30" s="46">
        <v>0</v>
      </c>
      <c r="AQ30" s="46">
        <v>0</v>
      </c>
      <c r="AR30" s="46">
        <v>0</v>
      </c>
      <c r="AS30" s="70">
        <f>SUM(AN30:AR30)</f>
        <v>0</v>
      </c>
      <c r="AT30" s="62">
        <v>9179324.3998298552</v>
      </c>
      <c r="AU30" s="62">
        <v>131048532</v>
      </c>
      <c r="AV30" s="62">
        <v>47827547.627579331</v>
      </c>
      <c r="AW30" s="62">
        <v>14656049.989449946</v>
      </c>
      <c r="AX30" s="62">
        <v>33420337.319989745</v>
      </c>
      <c r="AY30" s="70">
        <f>SUM(AT30:AX30)</f>
        <v>236131791.33684888</v>
      </c>
      <c r="AZ30" s="46">
        <v>0</v>
      </c>
      <c r="BA30" s="46">
        <v>0</v>
      </c>
      <c r="BB30" s="46">
        <v>0</v>
      </c>
      <c r="BC30" s="46">
        <v>0</v>
      </c>
      <c r="BD30" s="46">
        <v>0</v>
      </c>
      <c r="BE30" s="47">
        <f t="shared" si="7"/>
        <v>0</v>
      </c>
      <c r="BF30" s="46">
        <v>0</v>
      </c>
      <c r="BG30" s="46">
        <v>0</v>
      </c>
      <c r="BH30" s="46">
        <v>0</v>
      </c>
      <c r="BI30" s="46">
        <v>0</v>
      </c>
      <c r="BJ30" s="46">
        <v>0</v>
      </c>
      <c r="BK30" s="71">
        <f t="shared" si="8"/>
        <v>0</v>
      </c>
      <c r="BL30" s="46">
        <v>0</v>
      </c>
      <c r="BM30" s="46">
        <v>0</v>
      </c>
      <c r="BN30" s="46">
        <v>0</v>
      </c>
      <c r="BO30" s="46">
        <v>0</v>
      </c>
      <c r="BP30" s="46">
        <v>0</v>
      </c>
      <c r="BQ30" s="46">
        <v>0</v>
      </c>
      <c r="BR30" s="60">
        <f>SUM(BL30:BQ30)</f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74">
        <f>SUM(BT30:BX30)</f>
        <v>0</v>
      </c>
      <c r="BZ30" s="44"/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61">
        <f t="shared" si="9"/>
        <v>0</v>
      </c>
      <c r="CI30" s="62">
        <v>824729.62962962966</v>
      </c>
      <c r="CJ30" s="62">
        <v>32557135.165030353</v>
      </c>
      <c r="CK30" s="62">
        <v>2604938.7910719784</v>
      </c>
      <c r="CL30" s="62">
        <v>0</v>
      </c>
      <c r="CM30" s="62">
        <v>0</v>
      </c>
      <c r="CN30" s="62">
        <v>0</v>
      </c>
      <c r="CO30" s="61">
        <f t="shared" si="2"/>
        <v>35162073.956102334</v>
      </c>
      <c r="CP30" s="87">
        <f>AS30+AY30+BY30+CA30+CH30+CI30+CO30</f>
        <v>272118594.92258084</v>
      </c>
      <c r="CQ30" s="45" t="s">
        <v>110</v>
      </c>
    </row>
    <row r="31" spans="2:95" s="6" customFormat="1" ht="21" customHeight="1">
      <c r="B31" s="3"/>
      <c r="C31" s="3"/>
      <c r="D31" s="3"/>
      <c r="E31" s="3"/>
      <c r="F31" s="3"/>
      <c r="G31" s="3"/>
      <c r="H31" s="1"/>
      <c r="I31" s="1"/>
      <c r="J31" s="3"/>
      <c r="K31" s="3"/>
      <c r="L31" s="3"/>
      <c r="M31" s="3"/>
      <c r="N31" s="3"/>
      <c r="O31" s="3"/>
      <c r="P31" s="3"/>
      <c r="Q31" s="3"/>
      <c r="R31" s="3"/>
      <c r="S31" s="3"/>
      <c r="T31" s="46"/>
      <c r="U31" s="46"/>
      <c r="V31" s="46"/>
      <c r="W31" s="46"/>
      <c r="X31" s="46"/>
      <c r="Y31" s="46"/>
      <c r="Z31" s="47"/>
      <c r="AA31" s="46"/>
      <c r="AB31" s="46"/>
      <c r="AC31" s="46"/>
      <c r="AD31" s="46"/>
      <c r="AE31" s="46"/>
      <c r="AF31" s="46"/>
      <c r="AG31" s="47"/>
      <c r="AH31" s="46"/>
      <c r="AI31" s="46"/>
      <c r="AJ31" s="46"/>
      <c r="AK31" s="46"/>
      <c r="AL31" s="46"/>
      <c r="AM31" s="47"/>
      <c r="AN31" s="46"/>
      <c r="AO31" s="46"/>
      <c r="AP31" s="46"/>
      <c r="AQ31" s="46"/>
      <c r="AR31" s="46"/>
      <c r="AS31" s="47"/>
      <c r="AT31" s="46"/>
      <c r="AU31" s="46"/>
      <c r="AV31" s="46"/>
      <c r="AW31" s="46"/>
      <c r="AX31" s="46"/>
      <c r="AY31" s="47"/>
      <c r="AZ31" s="46"/>
      <c r="BA31" s="46"/>
      <c r="BB31" s="46"/>
      <c r="BC31" s="46"/>
      <c r="BD31" s="46"/>
      <c r="BE31" s="47"/>
      <c r="BF31" s="46"/>
      <c r="BG31" s="46"/>
      <c r="BH31" s="46"/>
      <c r="BI31" s="46"/>
      <c r="BJ31" s="46"/>
      <c r="BK31" s="47"/>
      <c r="BL31" s="46"/>
      <c r="BM31" s="46"/>
      <c r="BN31" s="46"/>
      <c r="BO31" s="46"/>
      <c r="BP31" s="46"/>
      <c r="BQ31" s="46"/>
      <c r="BR31" s="47"/>
      <c r="BS31" s="46"/>
      <c r="BT31" s="46"/>
      <c r="BU31" s="46"/>
      <c r="BV31" s="46"/>
      <c r="BW31" s="46"/>
      <c r="BX31" s="46"/>
      <c r="BY31" s="53"/>
      <c r="BZ31" s="42"/>
      <c r="CA31" s="46"/>
      <c r="CB31" s="46"/>
      <c r="CC31" s="46"/>
      <c r="CD31" s="46"/>
      <c r="CE31" s="46"/>
      <c r="CF31" s="46"/>
      <c r="CG31" s="46"/>
      <c r="CH31" s="47"/>
      <c r="CI31" s="46"/>
      <c r="CJ31" s="46"/>
      <c r="CK31" s="46"/>
      <c r="CL31" s="46"/>
      <c r="CM31" s="46"/>
      <c r="CN31" s="46"/>
      <c r="CO31" s="47"/>
      <c r="CP31" s="86"/>
    </row>
    <row r="32" spans="2:95" s="6" customFormat="1">
      <c r="B32" s="3"/>
      <c r="C32" s="3"/>
      <c r="D32" s="3"/>
      <c r="E32" s="3"/>
      <c r="F32" s="3"/>
      <c r="G32" s="3"/>
      <c r="H32" s="1"/>
      <c r="I32" s="1"/>
      <c r="J32" s="3"/>
      <c r="K32" s="3"/>
      <c r="L32" s="3"/>
      <c r="M32" s="3"/>
      <c r="N32" s="3"/>
      <c r="O32" s="3"/>
      <c r="P32" s="3"/>
      <c r="Q32" s="3"/>
      <c r="R32" s="3"/>
      <c r="S32" s="3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2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</row>
    <row r="33" spans="2:94" s="6" customFormat="1">
      <c r="B33" s="3"/>
      <c r="C33" s="3"/>
      <c r="D33" s="3"/>
      <c r="E33" s="3"/>
      <c r="F33" s="3"/>
      <c r="G33" s="3"/>
      <c r="H33" s="1"/>
      <c r="I33" s="1"/>
      <c r="J33" s="3"/>
      <c r="K33" s="3"/>
      <c r="L33" s="3"/>
      <c r="M33" s="3"/>
      <c r="N33" s="3"/>
      <c r="O33" s="3"/>
      <c r="P33" s="3"/>
      <c r="Q33" s="3"/>
      <c r="R33" s="3"/>
      <c r="S33" s="3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2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</row>
    <row r="34" spans="2:94" s="6" customFormat="1">
      <c r="B34" s="3"/>
      <c r="C34" s="3"/>
      <c r="D34" s="3"/>
      <c r="E34" s="64"/>
      <c r="H34" s="13"/>
      <c r="I34" s="13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65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</row>
    <row r="35" spans="2:94">
      <c r="CA35">
        <f>2*24*BZ5</f>
        <v>16759618.536585364</v>
      </c>
      <c r="CN35">
        <f>SUM(CI4:CN4)/CP4</f>
        <v>0.11061195724357191</v>
      </c>
    </row>
    <row r="36" spans="2:94">
      <c r="BY36">
        <f>BZ8*12*2.2</f>
        <v>14583600.625000002</v>
      </c>
      <c r="CA36">
        <f>CA35*(1+CN36)</f>
        <v>18486856.935480174</v>
      </c>
      <c r="CN36" s="66">
        <f>SUM(CI5:CN5)/CP5</f>
        <v>0.10305952937558452</v>
      </c>
      <c r="CO36" s="66"/>
    </row>
    <row r="37" spans="2:94">
      <c r="BY37">
        <f>BY36*1.1</f>
        <v>16041960.687500004</v>
      </c>
    </row>
    <row r="39" spans="2:94">
      <c r="BY39">
        <f>BZ5*12*2.2*1.1</f>
        <v>10139569.214634147</v>
      </c>
    </row>
  </sheetData>
  <autoFilter ref="A2:DF2" xr:uid="{FE5FCFA7-2727-46F1-BA8C-34C3979F0D07}"/>
  <mergeCells count="14">
    <mergeCell ref="AN1:AS1"/>
    <mergeCell ref="J1:M1"/>
    <mergeCell ref="O1:S1"/>
    <mergeCell ref="T1:Y1"/>
    <mergeCell ref="AA1:AF1"/>
    <mergeCell ref="AH1:AM1"/>
    <mergeCell ref="CJ1:CN1"/>
    <mergeCell ref="CP1:CP2"/>
    <mergeCell ref="AT1:AY1"/>
    <mergeCell ref="AZ1:BE1"/>
    <mergeCell ref="BF1:BK1"/>
    <mergeCell ref="BL1:BQ1"/>
    <mergeCell ref="BS1:BY1"/>
    <mergeCell ref="CB1:CG1"/>
  </mergeCells>
  <hyperlinks>
    <hyperlink ref="CQ20" r:id="rId1" display="https://newafe.skkmigas.go.id/home/document-viewer/inline/3af14e24-b803-40be-8537-ab336785717f" xr:uid="{A4553338-6786-8946-9112-0E028144465A}"/>
    <hyperlink ref="CQ21" r:id="rId2" display="https://newafe.skkmigas.go.id/home/document-viewer/inline/7d861cc8-8a3c-406b-af46-e27d9d02bcff" xr:uid="{714E9B22-482A-AB4A-A5F2-AA9E93FBEE97}"/>
    <hyperlink ref="CQ22" r:id="rId3" display="https://newafe.skkmigas.go.id/home/document-viewer/inline/1c486eb9-dda0-47ab-9366-ebaa7c78cd68" xr:uid="{31451EE9-7E19-BB41-BBCE-54C3CABFAECC}"/>
    <hyperlink ref="CQ23" r:id="rId4" display="https://newafe.skkmigas.go.id/home/document-viewer/inline/5e9375bf-e115-4ba1-8ece-33a1d9415861" xr:uid="{DEAAE8D2-B449-7746-9BAE-C2A0E5D312A7}"/>
    <hyperlink ref="CQ24" r:id="rId5" display="https://newafe.skkmigas.go.id/home/document-viewer/inline/3bcb0198-0ac3-43e5-a2d4-a48a5ba9c8a0" xr:uid="{B8745A38-C2ED-AA44-A378-88EC83ABB0A4}"/>
    <hyperlink ref="CQ25" r:id="rId6" display="https://newafe.skkmigas.go.id/home/document-viewer/inline/b36e1e62-2903-429d-baab-8500ec1ef61a" xr:uid="{715069C3-1F06-EF4E-9EFC-DD47BFE69815}"/>
    <hyperlink ref="CQ7" r:id="rId7" display="https://newafe.skkmigas.go.id/home/document-viewer/inline/0937c0c7-fed2-43c5-8c57-8910ea34ecb4" xr:uid="{6A8D56D9-A564-DB4C-986D-DD448C29F258}"/>
    <hyperlink ref="CQ3" r:id="rId8" xr:uid="{25F0416F-0ABA-D440-A41B-748670BD0E69}"/>
    <hyperlink ref="CQ4" r:id="rId9" xr:uid="{D7EF49A1-4EA0-794E-8282-3C17C8C54812}"/>
    <hyperlink ref="CQ5" r:id="rId10" xr:uid="{987B788A-4431-0848-A6B9-17CC45D3405A}"/>
    <hyperlink ref="CQ8" r:id="rId11" xr:uid="{6F70C404-C720-2642-9661-E764EB4EE693}"/>
    <hyperlink ref="CQ9" r:id="rId12" xr:uid="{99393A12-5793-CA42-ABB2-942538BDD04F}"/>
    <hyperlink ref="CQ10" r:id="rId13" xr:uid="{34E4EAB1-F2B1-C646-857D-19AC8233FE1F}"/>
    <hyperlink ref="CQ11" r:id="rId14" xr:uid="{1A4EE09F-8CDE-2C4C-B8CC-4B488AB104E4}"/>
    <hyperlink ref="CQ12" r:id="rId15" xr:uid="{3A5252BF-51C1-8946-913B-E2B756097AB9}"/>
    <hyperlink ref="CQ13" r:id="rId16" xr:uid="{50E00DBA-36E1-C64B-B355-DC7BE2BE0292}"/>
    <hyperlink ref="CQ14" r:id="rId17" xr:uid="{EF0DC954-6655-924F-B358-F158740A36A5}"/>
    <hyperlink ref="CQ15" r:id="rId18" xr:uid="{B3093588-D230-8C41-807D-AD624EA643C3}"/>
    <hyperlink ref="CQ16" r:id="rId19" xr:uid="{1549313B-FE9C-1C4E-9C15-9566287DA1AA}"/>
    <hyperlink ref="CQ17" r:id="rId20" xr:uid="{59C16307-87DE-874F-B77C-FE089C665EE9}"/>
    <hyperlink ref="CQ18" r:id="rId21" xr:uid="{B49EA5C5-CA81-FE4B-9B7B-0B4E10A12AC3}"/>
    <hyperlink ref="CQ19" r:id="rId22" xr:uid="{AE8803C6-BC4D-364B-8CAA-2C329E145C96}"/>
    <hyperlink ref="CQ28" r:id="rId23" xr:uid="{D7DD5089-8FF9-DC44-8B8F-FAEFA317984C}"/>
    <hyperlink ref="CQ29" r:id="rId24" xr:uid="{F58B0809-639A-6944-A269-50BD2AB74B20}"/>
    <hyperlink ref="CQ30" r:id="rId25" xr:uid="{6DE77D9D-1E05-B147-B6E1-64462A7D034E}"/>
  </hyperlinks>
  <pageMargins left="0.7" right="0.7" top="0.75" bottom="0.75" header="0.3" footer="0.3"/>
  <pageSetup orientation="portrait" r:id="rId26"/>
  <drawing r:id="rId27"/>
  <legacy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28B5-5343-4149-8359-4C5C5F905BC5}">
  <dimension ref="A1:T1"/>
  <sheetViews>
    <sheetView zoomScale="70" zoomScaleNormal="70" workbookViewId="0">
      <selection sqref="A1:T1"/>
    </sheetView>
  </sheetViews>
  <sheetFormatPr defaultRowHeight="14.5"/>
  <sheetData>
    <row r="1" spans="1:20" ht="15" thickBot="1">
      <c r="A1" s="3" t="s">
        <v>4</v>
      </c>
      <c r="B1" s="3" t="s">
        <v>5</v>
      </c>
      <c r="C1" s="4" t="s">
        <v>10</v>
      </c>
      <c r="D1" s="3" t="s">
        <v>11</v>
      </c>
      <c r="E1" s="1">
        <v>4</v>
      </c>
      <c r="F1" s="5">
        <v>60</v>
      </c>
      <c r="G1" s="89" t="s">
        <v>177</v>
      </c>
      <c r="H1" s="89">
        <v>24</v>
      </c>
      <c r="I1" s="3">
        <v>2270</v>
      </c>
      <c r="J1" s="3">
        <v>3881</v>
      </c>
      <c r="K1" s="3">
        <v>3238</v>
      </c>
      <c r="L1" s="75">
        <v>0</v>
      </c>
      <c r="M1" s="75"/>
      <c r="N1" s="75"/>
      <c r="O1" s="75"/>
      <c r="P1" s="75"/>
      <c r="Q1" s="75">
        <f t="shared" ref="Q1" si="0">R1-(SUM(L1:P1))</f>
        <v>0</v>
      </c>
      <c r="R1" s="23"/>
      <c r="S1" s="16" t="s">
        <v>78</v>
      </c>
      <c r="T1" s="3"/>
    </row>
  </sheetData>
  <hyperlinks>
    <hyperlink ref="S1" r:id="rId1" xr:uid="{FFCE48F2-C7C4-40DB-8D55-3EF2C21D73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</vt:lpstr>
      <vt:lpstr>RAW</vt:lpstr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Lugas Bijak Prasojo</dc:creator>
  <cp:lastModifiedBy>DZAKI KHAIRUL RAFLY</cp:lastModifiedBy>
  <dcterms:created xsi:type="dcterms:W3CDTF">2025-08-20T07:21:40Z</dcterms:created>
  <dcterms:modified xsi:type="dcterms:W3CDTF">2026-09-29T04:46:50Z</dcterms:modified>
</cp:coreProperties>
</file>